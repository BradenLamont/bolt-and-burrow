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ttings" sheetId="2" state="visible" r:id="rId4"/>
    <sheet name="Caves" sheetId="3" state="visible" r:id="rId5"/>
    <sheet name="Parts" sheetId="4" state="visible" r:id="rId6"/>
    <sheet name="Block coins" sheetId="5" state="visible" r:id="rId7"/>
    <sheet name="Materials" sheetId="6" state="visible" r:id="rId8"/>
    <sheet name="Mods" sheetId="7" state="visible" r:id="rId9"/>
    <sheet name="Dig times" sheetId="8" state="visible" r:id="rId10"/>
    <sheet name="Battery" sheetId="9" state="visible" r:id="rId11"/>
    <sheet name="Progress" sheetId="10" state="visible" r:id="rId12"/>
    <sheet name="Tools &amp; skills" sheetId="11" state="visible" r:id="rId13"/>
    <sheet name="Hazards" sheetId="12" state="visible" r:id="rId14"/>
    <sheet name="Weapons" sheetId="13" state="visible" r:id="rId15"/>
    <sheet name="Enemies" sheetId="14" state="visible" r:id="rId16"/>
    <sheet name="Flux upgrades" sheetId="15" state="visible" r:id="rId17"/>
    <sheet name="Contract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<sst xmlns="http://schemas.openxmlformats.org/spreadsheetml/2006/main" count="520" uniqueCount="406">
  <si>
    <t xml:space="preserve">Bolt &amp; Burrow — balancing sheet (v0.11)</t>
  </si>
  <si>
    <t xml:space="preserve">A planning copy of the numbers in js/config.js. Changing this sheet does NOT change the game:</t>
  </si>
  <si>
    <t xml:space="preserve">once you like a number here, copy it into js/config.js.</t>
  </si>
  <si>
    <t xml:space="preserve">Colour key</t>
  </si>
  <si>
    <t xml:space="preserve">Blue text = a setting copied from config.js (edit these to test ideas)</t>
  </si>
  <si>
    <t xml:space="preserve">Black text = a formula worked out from the settings</t>
  </si>
  <si>
    <t xml:space="preserve">Green text = pulled from another tab</t>
  </si>
  <si>
    <t xml:space="preserve">Tabs</t>
  </si>
  <si>
    <t xml:space="preserve">Settings – shared numbers (dig rate, battery, conveyor, caches, Flux)</t>
  </si>
  <si>
    <t xml:space="preserve">Caves – the three caves: ore and hard-rock chances, coin multiplier, relic, outpost, bridge and cache payouts</t>
  </si>
  <si>
    <t xml:space="preserve">Parts – every part, its cost and stats, and the total cost to max each slot</t>
  </si>
  <si>
    <t xml:space="preserve">Block coins – coins for digging each block in each cave, and coins per second with each arm tier</t>
  </si>
  <si>
    <t xml:space="preserve">Materials – forge recipes: ore needed, refine time, and whether refining beats selling the ore</t>
  </si>
  <si>
    <t xml:space="preserve">Mods – every computer mod: shape, build cost, Flux to upgrade and how long the nano-bot takes to make it</t>
  </si>
  <si>
    <t xml:space="preserve">Tools &amp; skills – tool prices and belt slots; active skills, their recharge times and battery cost</t>
  </si>
  <si>
    <t xml:space="preserve">Hazards – how much sand, boulders, water and gas take when they hit you</t>
  </si>
  <si>
    <t xml:space="preserve">Weapons – every weapon arm, its damage per second at Mk I–III, and how well it mines</t>
  </si>
  <si>
    <t xml:space="preserve">Enemies – enemy and boss stats, and how many seconds each weapon takes to beat them</t>
  </si>
  <si>
    <t xml:space="preserve">Dig times – seconds to break each block with each arm tier ("—" = too hard for that tier)</t>
  </si>
  <si>
    <t xml:space="preserve">Battery – how far each tank can go on one charge with each set of legs</t>
  </si>
  <si>
    <t xml:space="preserve">Progress – a rough cost path through the three caves</t>
  </si>
  <si>
    <t xml:space="preserve">Ore prices are fixed per type in v0.8 (no depth bonus); the shop buys ore and materials from storage.</t>
  </si>
  <si>
    <t xml:space="preserve">Setting</t>
  </si>
  <si>
    <t xml:space="preserve">Value</t>
  </si>
  <si>
    <t xml:space="preserve">What it does (config.js name)</t>
  </si>
  <si>
    <t xml:space="preserve">Dig rate</t>
  </si>
  <si>
    <t xml:space="preserve">Damage per second per point of dig power (DIG_RATE)</t>
  </si>
  <si>
    <t xml:space="preserve">Move cost</t>
  </si>
  <si>
    <t xml:space="preserve">Battery per block travelled (BATTERY.move)</t>
  </si>
  <si>
    <t xml:space="preserve">Dig cost</t>
  </si>
  <si>
    <t xml:space="preserve">Battery per block broken (BATTERY.dig)</t>
  </si>
  <si>
    <t xml:space="preserve">Charge rate</t>
  </si>
  <si>
    <t xml:space="preserve">Battery per second at base or an outpost (CHARGE_RATE)</t>
  </si>
  <si>
    <t xml:space="preserve">Outpost depth (m)</t>
  </si>
  <si>
    <t xml:space="preserve">Depth of each cave's outpost (CONVEYOR.step)</t>
  </si>
  <si>
    <t xml:space="preserve">Outpost base cost</t>
  </si>
  <si>
    <t xml:space="preserve">Outpost cost in cave 1 (CONVEYOR.baseCost)</t>
  </si>
  <si>
    <t xml:space="preserve">Outpost cost growth</t>
  </si>
  <si>
    <t xml:space="preserve">Each cave's outpost costs this many times the last (CONVEYOR.costGrowth)</t>
  </si>
  <si>
    <t xml:space="preserve">Cache coins min</t>
  </si>
  <si>
    <t xml:space="preserve">Smallest cache coin payout before the cave multiplier (CACHE.coins[0])</t>
  </si>
  <si>
    <t xml:space="preserve">Cache coins max</t>
  </si>
  <si>
    <t xml:space="preserve">Largest cache coin payout before the cave multiplier (CACHE.coins[1])</t>
  </si>
  <si>
    <t xml:space="preserve">Cache ore pieces</t>
  </si>
  <si>
    <t xml:space="preserve">Pieces of the cave's best ore in each cache (CACHE.ores)</t>
  </si>
  <si>
    <t xml:space="preserve">Caches per cave</t>
  </si>
  <si>
    <t xml:space="preserve">How many caches each cave hides (CACHE.perCave)</t>
  </si>
  <si>
    <t xml:space="preserve">Relic depth (m)</t>
  </si>
  <si>
    <t xml:space="preserve">Depth of each cave's relic chamber (RELIC.row 57 − 3)</t>
  </si>
  <si>
    <t xml:space="preserve">Recall keeps</t>
  </si>
  <si>
    <t xml:space="preserve">Share of ore kept on a manual recall (RECALL.keepCargo)</t>
  </si>
  <si>
    <t xml:space="preserve">Rockfall shake time (s)</t>
  </si>
  <si>
    <t xml:space="preserve">How long unstable rock shakes before it falls (ROCK.wobble)</t>
  </si>
  <si>
    <t xml:space="preserve">Rockfall trigger radius</t>
  </si>
  <si>
    <t xml:space="preserve">Walking this close to unstable rock with an open side sets it off (ROCK.triggerRadius)</t>
  </si>
  <si>
    <t xml:space="preserve">Cave-in battery loss</t>
  </si>
  <si>
    <t xml:space="preserve">Share of max battery lost in a cave-in (ROCK.batteryLoss)</t>
  </si>
  <si>
    <t xml:space="preserve">Cave-in cargo loss</t>
  </si>
  <si>
    <t xml:space="preserve">Share of ore lost in a cave-in (ROCK.cargoLoss)</t>
  </si>
  <si>
    <t xml:space="preserve">Flux per minute (per bot)</t>
  </si>
  <si>
    <t xml:space="preserve">Flux each nano-bot makes per minute (NANOBOT.fluxPerMin)</t>
  </si>
  <si>
    <t xml:space="preserve">Offline cap (hours)</t>
  </si>
  <si>
    <t xml:space="preserve">Flux stops building up after this long away (NANOBOT.offlineCapHours)</t>
  </si>
  <si>
    <t xml:space="preserve">Upgrade to Lv 2 (Flux per cell)</t>
  </si>
  <si>
    <t xml:space="preserve">Flux per cell of the mod's shape (COMPUTER.upgradeFlux[0])</t>
  </si>
  <si>
    <t xml:space="preserve">Upgrade to Lv 3 (Flux per cell)</t>
  </si>
  <si>
    <t xml:space="preserve">Flux per cell of the mod's shape (COMPUTER.upgradeFlux[1])</t>
  </si>
  <si>
    <t xml:space="preserve">Cave</t>
  </si>
  <si>
    <t xml:space="preserve">Name</t>
  </si>
  <si>
    <t xml:space="preserve">Coin multiplier</t>
  </si>
  <si>
    <t xml:space="preserve">Ore 1</t>
  </si>
  <si>
    <t xml:space="preserve">Ore 1 chance</t>
  </si>
  <si>
    <t xml:space="preserve">Ore 2</t>
  </si>
  <si>
    <t xml:space="preserve">Ore 2 chance</t>
  </si>
  <si>
    <t xml:space="preserve">Granite chance</t>
  </si>
  <si>
    <t xml:space="preserve">Obsidian chance</t>
  </si>
  <si>
    <t xml:space="preserve">Unstable rock chance</t>
  </si>
  <si>
    <t xml:space="preserve">Chasms</t>
  </si>
  <si>
    <t xml:space="preserve">Pits</t>
  </si>
  <si>
    <t xml:space="preserve">Relic</t>
  </si>
  <si>
    <t xml:space="preserve">Relic reward</t>
  </si>
  <si>
    <t xml:space="preserve">Halfway outpost cost</t>
  </si>
  <si>
    <t xml:space="preserve">Bridge keys (= pads)</t>
  </si>
  <si>
    <t xml:space="preserve">Cache coins (min)</t>
  </si>
  <si>
    <t xml:space="preserve">Cache coins (max)</t>
  </si>
  <si>
    <t xml:space="preserve">Relic needs</t>
  </si>
  <si>
    <t xml:space="preserve">Topsoil Hollow</t>
  </si>
  <si>
    <t xml:space="preserve">copper</t>
  </si>
  <si>
    <t xml:space="preserve">silver</t>
  </si>
  <si>
    <t xml:space="preserve">Ember Idol</t>
  </si>
  <si>
    <t xml:space="preserve">Rock Claws (no seal)</t>
  </si>
  <si>
    <t xml:space="preserve">Granite Rift</t>
  </si>
  <si>
    <t xml:space="preserve">gold</t>
  </si>
  <si>
    <t xml:space="preserve">Storm Lens</t>
  </si>
  <si>
    <t xml:space="preserve">Drill Arms (granite seal)</t>
  </si>
  <si>
    <t xml:space="preserve">Basalt Deeps</t>
  </si>
  <si>
    <t xml:space="preserve">crystal</t>
  </si>
  <si>
    <t xml:space="preserve">Core Heart</t>
  </si>
  <si>
    <t xml:space="preserve">Plasma Cutters (obsidian seal)</t>
  </si>
  <si>
    <t xml:space="preserve">Scrap Tunnels (Rustvale)</t>
  </si>
  <si>
    <t xml:space="preserve">Brass Governor</t>
  </si>
  <si>
    <t xml:space="preserve">Slag Works (Rustvale)</t>
  </si>
  <si>
    <t xml:space="preserve">Slag Crown</t>
  </si>
  <si>
    <t xml:space="preserve">The Crucible (Rustvale)</t>
  </si>
  <si>
    <t xml:space="preserve">Foundry Heart</t>
  </si>
  <si>
    <t xml:space="preserve">Beat the Foundry Titan</t>
  </si>
  <si>
    <t xml:space="preserve">Rustvale extras: Cave 4 has scrap blocks (3.5%, 9 coins × multiplier) and 10 steam vents; Cave 5 has scrap (2%), 5 vents and 10 hidden lava pockets; Cave 6 has 4 vents, 8 lava pockets and two lava rivers (its chasms).</t>
  </si>
  <si>
    <t xml:space="preserve">Hard rock is rarer near the cave mouth: its chance scales from 40% of the listed value at the entrance to 140% at the relic.</t>
  </si>
  <si>
    <t xml:space="preserve">Each bridge pad needs one of that cave's bridge keys; one marked key cache per pad is hidden before the chasm. Cave 2 also has an old bridge; cave 3 does not.</t>
  </si>
  <si>
    <t xml:space="preserve">Slot</t>
  </si>
  <si>
    <t xml:space="preserve">Tier</t>
  </si>
  <si>
    <t xml:space="preserve">Part</t>
  </si>
  <si>
    <t xml:space="preserve">Cost (coins)</t>
  </si>
  <si>
    <t xml:space="preserve">Stat 1</t>
  </si>
  <si>
    <t xml:space="preserve">Stat 2</t>
  </si>
  <si>
    <t xml:space="preserve">Cumulative cost in slot</t>
  </si>
  <si>
    <t xml:space="preserve">Canopy</t>
  </si>
  <si>
    <t xml:space="preserve">Glass Bubble</t>
  </si>
  <si>
    <t xml:space="preserve">Light (blocks)</t>
  </si>
  <si>
    <t xml:space="preserve">Scanner range (blocks)</t>
  </si>
  <si>
    <t xml:space="preserve">Armored Visor</t>
  </si>
  <si>
    <t xml:space="preserve">Sensor Dome</t>
  </si>
  <si>
    <t xml:space="preserve">Arms</t>
  </si>
  <si>
    <t xml:space="preserve">Rock Claws</t>
  </si>
  <si>
    <t xml:space="preserve">Dig power</t>
  </si>
  <si>
    <t xml:space="preserve">Breaks</t>
  </si>
  <si>
    <t xml:space="preserve">soft rock</t>
  </si>
  <si>
    <t xml:space="preserve">Drill Arms</t>
  </si>
  <si>
    <t xml:space="preserve">+ granite</t>
  </si>
  <si>
    <t xml:space="preserve">Plasma Cutters</t>
  </si>
  <si>
    <t xml:space="preserve">+ obsidian</t>
  </si>
  <si>
    <t xml:space="preserve">Tank</t>
  </si>
  <si>
    <t xml:space="preserve">Small Tank</t>
  </si>
  <si>
    <t xml:space="preserve">Battery</t>
  </si>
  <si>
    <t xml:space="preserve">Cargo (ore)</t>
  </si>
  <si>
    <t xml:space="preserve">Twin Tanks</t>
  </si>
  <si>
    <t xml:space="preserve">Reactor Tank</t>
  </si>
  <si>
    <t xml:space="preserve">Legs</t>
  </si>
  <si>
    <t xml:space="preserve">Piston Legs</t>
  </si>
  <si>
    <t xml:space="preserve">Speed (blocks/s)</t>
  </si>
  <si>
    <t xml:space="preserve">Move cost share</t>
  </si>
  <si>
    <t xml:space="preserve">Spring Struts</t>
  </si>
  <si>
    <t xml:space="preserve">Hover Jets</t>
  </si>
  <si>
    <t xml:space="preserve">Total to max every part</t>
  </si>
  <si>
    <t xml:space="preserve">Block</t>
  </si>
  <si>
    <t xml:space="preserve">Coins (base)</t>
  </si>
  <si>
    <t xml:space="preserve">Cave 1</t>
  </si>
  <si>
    <t xml:space="preserve">Cave 2</t>
  </si>
  <si>
    <t xml:space="preserve">Cave 3</t>
  </si>
  <si>
    <t xml:space="preserve">Toughness (hp)</t>
  </si>
  <si>
    <t xml:space="preserve">Dirt</t>
  </si>
  <si>
    <t xml:space="preserve">Clay</t>
  </si>
  <si>
    <t xml:space="preserve">Stone</t>
  </si>
  <si>
    <t xml:space="preserve">Basalt</t>
  </si>
  <si>
    <t xml:space="preserve">Granite</t>
  </si>
  <si>
    <t xml:space="preserve">Obsidian</t>
  </si>
  <si>
    <t xml:space="preserve">Unstable rock</t>
  </si>
  <si>
    <t xml:space="preserve">Ore (plus the ore itself)</t>
  </si>
  <si>
    <t xml:space="preserve">Coins per second while tunnelling through each cave's main rock (no walking time)</t>
  </si>
  <si>
    <t xml:space="preserve">Cave rock</t>
  </si>
  <si>
    <t xml:space="preserve">Coins per block</t>
  </si>
  <si>
    <t xml:space="preserve">Dirt / clay (cave 1)</t>
  </si>
  <si>
    <t xml:space="preserve">Stone (cave 2)</t>
  </si>
  <si>
    <t xml:space="preserve">Basalt (cave 3)</t>
  </si>
  <si>
    <t xml:space="preserve">The Prospector mod adds 10–30% to every block. Caches, relics and selling ore come on top.</t>
  </si>
  <si>
    <t xml:space="preserve">Ore</t>
  </si>
  <si>
    <t xml:space="preserve">Sells for</t>
  </si>
  <si>
    <t xml:space="preserve">Copper</t>
  </si>
  <si>
    <t xml:space="preserve">Silver</t>
  </si>
  <si>
    <t xml:space="preserve">Gold</t>
  </si>
  <si>
    <t xml:space="preserve">Crystal</t>
  </si>
  <si>
    <t xml:space="preserve">Material</t>
  </si>
  <si>
    <t xml:space="preserve">Refine time (s)</t>
  </si>
  <si>
    <t xml:space="preserve">Ore value used</t>
  </si>
  <si>
    <t xml:space="preserve">Profit vs selling the ore</t>
  </si>
  <si>
    <t xml:space="preserve">Wire</t>
  </si>
  <si>
    <t xml:space="preserve">Circuits</t>
  </si>
  <si>
    <t xml:space="preserve">Conductors</t>
  </si>
  <si>
    <t xml:space="preserve">Lenses</t>
  </si>
  <si>
    <t xml:space="preserve">Refining is mostly for building mods; selling a material pays a little more than selling its ore. Refine times are short while testing.</t>
  </si>
  <si>
    <t xml:space="preserve">Mod</t>
  </si>
  <si>
    <t xml:space="preserve">Shape</t>
  </si>
  <si>
    <t xml:space="preserve">Cells</t>
  </si>
  <si>
    <t xml:space="preserve">Coins</t>
  </si>
  <si>
    <t xml:space="preserve">Build cost in coins (materials at sell price)</t>
  </si>
  <si>
    <t xml:space="preserve">Flux to Lv 2</t>
  </si>
  <si>
    <t xml:space="preserve">Flux to Lv 3</t>
  </si>
  <si>
    <t xml:space="preserve">Minutes of Flux (1 bot) to max</t>
  </si>
  <si>
    <t xml:space="preserve">Lv 1</t>
  </si>
  <si>
    <t xml:space="preserve">Lv 2</t>
  </si>
  <si>
    <t xml:space="preserve">Lv 3</t>
  </si>
  <si>
    <t xml:space="preserve">Fits the starting computer?</t>
  </si>
  <si>
    <t xml:space="preserve">Drill Chip</t>
  </si>
  <si>
    <t xml:space="preserve">■</t>
  </si>
  <si>
    <t xml:space="preserve">Yes</t>
  </si>
  <si>
    <t xml:space="preserve">Power Saver</t>
  </si>
  <si>
    <t xml:space="preserve">Prospector</t>
  </si>
  <si>
    <t xml:space="preserve">Lamp Chip</t>
  </si>
  <si>
    <t xml:space="preserve">Hardrock Driver</t>
  </si>
  <si>
    <t xml:space="preserve">■■</t>
  </si>
  <si>
    <t xml:space="preserve">Yes (fills the passive row)</t>
  </si>
  <si>
    <t xml:space="preserve">Sorter</t>
  </si>
  <si>
    <t xml:space="preserve">Coolant Loop</t>
  </si>
  <si>
    <t xml:space="preserve">■ / ■ (tall)</t>
  </si>
  <si>
    <t xml:space="preserve">No (needs an expansion)</t>
  </si>
  <si>
    <t xml:space="preserve">Ore Sense</t>
  </si>
  <si>
    <t xml:space="preserve">L</t>
  </si>
  <si>
    <t xml:space="preserve">Overclock</t>
  </si>
  <si>
    <t xml:space="preserve">T</t>
  </si>
  <si>
    <t xml:space="preserve">Starting computer: 2×2. The top row (2 cells) is passive; the bottom row is for active skills and opens after Town 1. Shapes are fixed (no rotating).</t>
  </si>
  <si>
    <t xml:space="preserve">Lamp Chip and Ore Sense levels are in blocks; the rest are percentages.</t>
  </si>
  <si>
    <t xml:space="preserve">Needs arms tier</t>
  </si>
  <si>
    <t xml:space="preserve">Rock Claws (s)</t>
  </si>
  <si>
    <t xml:space="preserve">Drill Arms (s)</t>
  </si>
  <si>
    <t xml:space="preserve">Plasma Cutters (s)</t>
  </si>
  <si>
    <t xml:space="preserve">Rubble</t>
  </si>
  <si>
    <t xml:space="preserve">Treasure cache</t>
  </si>
  <si>
    <t xml:space="preserve">Without mods (Drill Chip and Overclock add dig speed; Hardrock Driver speeds up granite and obsidian). Relics in caves 2 and 3 are sealed in granite / obsidian, so you need that tier to reach them.</t>
  </si>
  <si>
    <t xml:space="preserve">Blocks you can walk</t>
  </si>
  <si>
    <t xml:space="preserve">Blocks of new tunnel</t>
  </si>
  <si>
    <t xml:space="preserve">Round trip depth (tunnel out, walk back)</t>
  </si>
  <si>
    <t xml:space="preserve">Straight-line estimates: no detours or cave-ins, walking back the way you came. Riding the conveyor is free. Compare with the outpost at 25 m and the relic at 54 m.</t>
  </si>
  <si>
    <t xml:space="preserve">Step</t>
  </si>
  <si>
    <t xml:space="preserve">Spend (coins)</t>
  </si>
  <si>
    <t xml:space="preserve">Earn (coins)</t>
  </si>
  <si>
    <t xml:space="preserve">Running total</t>
  </si>
  <si>
    <t xml:space="preserve">Note</t>
  </si>
  <si>
    <t xml:space="preserve">Cave 1: Drill Arms</t>
  </si>
  <si>
    <t xml:space="preserve">Cheap, and needed for granite</t>
  </si>
  <si>
    <t xml:space="preserve">Cave 1: halfway outpost</t>
  </si>
  <si>
    <t xml:space="preserve">The entrance outpost is free</t>
  </si>
  <si>
    <t xml:space="preserve">Cave 1: Ember Idol</t>
  </si>
  <si>
    <t xml:space="preserve">Unlocks cave 2</t>
  </si>
  <si>
    <t xml:space="preserve">Cave 2: Armored Visor</t>
  </si>
  <si>
    <t xml:space="preserve">Scanner finds caches</t>
  </si>
  <si>
    <t xml:space="preserve">Cave 2: Twin Tanks</t>
  </si>
  <si>
    <t xml:space="preserve">Room for the longer trip</t>
  </si>
  <si>
    <t xml:space="preserve">Cave 2: halfway outpost</t>
  </si>
  <si>
    <t xml:space="preserve">Cave 2: Storm Lens</t>
  </si>
  <si>
    <t xml:space="preserve">Unlocks cave 3</t>
  </si>
  <si>
    <t xml:space="preserve">Cave 3: Plasma Cutters</t>
  </si>
  <si>
    <t xml:space="preserve">Needed for the obsidian seal</t>
  </si>
  <si>
    <t xml:space="preserve">Cave 3: halfway outpost</t>
  </si>
  <si>
    <t xml:space="preserve">Cave 3: Core Heart</t>
  </si>
  <si>
    <t xml:space="preserve">End of v0.8</t>
  </si>
  <si>
    <t xml:space="preserve">Relic rewards only. A negative running total is what you need to earn from block coins, caches and selling ore before that step (see Block coins). Mods are extra.</t>
  </si>
  <si>
    <t xml:space="preserve">Tool</t>
  </si>
  <si>
    <t xml:space="preserve">Key</t>
  </si>
  <si>
    <t xml:space="preserve">Price (coins)</t>
  </si>
  <si>
    <t xml:space="preserve">Max per slot</t>
  </si>
  <si>
    <t xml:space="preserve">Full slot costs</t>
  </si>
  <si>
    <t xml:space="preserve">What it does</t>
  </si>
  <si>
    <t xml:space="preserve">Blast charge</t>
  </si>
  <si>
    <t xml:space="preserve">Breaks a 3×3 area, even hard rock (you collect what breaks)</t>
  </si>
  <si>
    <t xml:space="preserve">Support beam</t>
  </si>
  <si>
    <t xml:space="preserve">Stops sand and boulders; keeps unstable rock within 1 block still</t>
  </si>
  <si>
    <t xml:space="preserve">Flare</t>
  </si>
  <si>
    <t xml:space="preserve">Lights a 7-block radius for 30 s</t>
  </si>
  <si>
    <t xml:space="preserve">Grapple</t>
  </si>
  <si>
    <t xml:space="preserve">Swings across up to 3 blocks of chasm</t>
  </si>
  <si>
    <t xml:space="preserve">Belt slots</t>
  </si>
  <si>
    <t xml:space="preserve">Base belt slots</t>
  </si>
  <si>
    <t xml:space="preserve">Each tool type takes one slot. Pip buys tools back at full price.</t>
  </si>
  <si>
    <t xml:space="preserve">Skill</t>
  </si>
  <si>
    <t xml:space="preserve">Battery per use</t>
  </si>
  <si>
    <t xml:space="preserve">Recharge Lv 1 (s)</t>
  </si>
  <si>
    <t xml:space="preserve">Lv 2 (s)</t>
  </si>
  <si>
    <t xml:space="preserve">Lv 3 (s)</t>
  </si>
  <si>
    <t xml:space="preserve">Uses per minute at Lv 3</t>
  </si>
  <si>
    <t xml:space="preserve">Dash</t>
  </si>
  <si>
    <t xml:space="preserve">Drill Burst</t>
  </si>
  <si>
    <t xml:space="preserve">Scan Pulse</t>
  </si>
  <si>
    <t xml:space="preserve">Shield</t>
  </si>
  <si>
    <t xml:space="preserve">Skills go in the computer's bottom row (opens with the Core Heart), one at a time. The nano-bot recharges them; upgrades use Flux like other mods.</t>
  </si>
  <si>
    <t xml:space="preserve">Hazard</t>
  </si>
  <si>
    <t xml:space="preserve">Battery lost</t>
  </si>
  <si>
    <t xml:space="preserve">Ore lost</t>
  </si>
  <si>
    <t xml:space="preserve">Timing</t>
  </si>
  <si>
    <t xml:space="preserve">Notes</t>
  </si>
  <si>
    <t xml:space="preserve">Cave-in (unstable rock)</t>
  </si>
  <si>
    <t xml:space="preserve">0.4 s shake</t>
  </si>
  <si>
    <t xml:space="preserve">Sets off unstable rock within 2.2 blocks</t>
  </si>
  <si>
    <t xml:space="preserve">Sand slide</t>
  </si>
  <si>
    <t xml:space="preserve">0.3 s per block</t>
  </si>
  <si>
    <t xml:space="preserve">Slides toward the entrance into open space</t>
  </si>
  <si>
    <t xml:space="preserve">Rolling boulder</t>
  </si>
  <si>
    <t xml:space="preserve">0.6 s rumble, then 0.14 s per block</t>
  </si>
  <si>
    <t xml:space="preserve">Push one by walking into it for 0.3 s</t>
  </si>
  <si>
    <t xml:space="preserve">Gas explosion</t>
  </si>
  <si>
    <t xml:space="preserve">0.9 s fuse</t>
  </si>
  <si>
    <t xml:space="preserve">Hits within 1.8 blocks; clears a 3×3 area</t>
  </si>
  <si>
    <t xml:space="preserve">Flood water</t>
  </si>
  <si>
    <t xml:space="preserve">1.2 per second</t>
  </si>
  <si>
    <t xml:space="preserve">0.2 s per block, 10 blocks a pocket</t>
  </si>
  <si>
    <t xml:space="preserve">Wading runs at 55% speed</t>
  </si>
  <si>
    <t xml:space="preserve">A Shield blocks the whole hit. Every cave slopes toward its entrance, so sand and boulders move that way.</t>
  </si>
  <si>
    <t xml:space="preserve">Weapon</t>
  </si>
  <si>
    <t xml:space="preserve">Class</t>
  </si>
  <si>
    <t xml:space="preserve">Price</t>
  </si>
  <si>
    <t xml:space="preserve">Damage (Mk I)</t>
  </si>
  <si>
    <t xml:space="preserve">Cooldown (s)</t>
  </si>
  <si>
    <t xml:space="preserve">DPS Mk I</t>
  </si>
  <si>
    <t xml:space="preserve">DPS Mk II</t>
  </si>
  <si>
    <t xml:space="preserve">DPS Mk III</t>
  </si>
  <si>
    <t xml:space="preserve">Block hit share</t>
  </si>
  <si>
    <t xml:space="preserve">Block damage / s</t>
  </si>
  <si>
    <t xml:space="preserve">Breaks up to</t>
  </si>
  <si>
    <t xml:space="preserve">Wrench</t>
  </si>
  <si>
    <t xml:space="preserve">Melee</t>
  </si>
  <si>
    <t xml:space="preserve">Free starter</t>
  </si>
  <si>
    <t xml:space="preserve">Rock Hammer</t>
  </si>
  <si>
    <t xml:space="preserve">granite</t>
  </si>
  <si>
    <t xml:space="preserve">Cracks armour</t>
  </si>
  <si>
    <t xml:space="preserve">Rivet Gun</t>
  </si>
  <si>
    <t xml:space="preserve">Ranged</t>
  </si>
  <si>
    <t xml:space="preserve">Range 7</t>
  </si>
  <si>
    <t xml:space="preserve">Gravity Bulwark</t>
  </si>
  <si>
    <t xml:space="preserve">Defensive</t>
  </si>
  <si>
    <t xml:space="preserve">Pull + 0.9 s stun, halves frontal damage</t>
  </si>
  <si>
    <t xml:space="preserve">Stun Pulse</t>
  </si>
  <si>
    <t xml:space="preserve">Support</t>
  </si>
  <si>
    <t xml:space="preserve">-</t>
  </si>
  <si>
    <t xml:space="preserve">1.5 s stun, marks for 4 s (+50% damage, no armour)</t>
  </si>
  <si>
    <t xml:space="preserve">Mk multipliers</t>
  </si>
  <si>
    <t xml:space="preserve">Damage</t>
  </si>
  <si>
    <t xml:space="preserve">Cooldown</t>
  </si>
  <si>
    <t xml:space="preserve">Dig arms for comparison: Rock Claws 4, Drill Arms 12, Plasma Cutters 32 block damage a second (plus the cone: 40% to the sides, 30% behind).</t>
  </si>
  <si>
    <t xml:space="preserve">Enemy</t>
  </si>
  <si>
    <t xml:space="preserve">Where</t>
  </si>
  <si>
    <t xml:space="preserve">HP</t>
  </si>
  <si>
    <t xml:space="preserve">Damage to hull</t>
  </si>
  <si>
    <t xml:space="preserve">Speed</t>
  </si>
  <si>
    <t xml:space="preserve">Armour</t>
  </si>
  <si>
    <t xml:space="preserve">Wrench Mk I (s)</t>
  </si>
  <si>
    <t xml:space="preserve">Hammer Mk I (s)</t>
  </si>
  <si>
    <t xml:space="preserve">Rivet Mk I (s)</t>
  </si>
  <si>
    <t xml:space="preserve">Grub</t>
  </si>
  <si>
    <t xml:space="preserve">Hollowmouth</t>
  </si>
  <si>
    <t xml:space="preserve">Cave Bat</t>
  </si>
  <si>
    <t xml:space="preserve">Spitter</t>
  </si>
  <si>
    <t xml:space="preserve">Hollowmouth (caves 2–3)</t>
  </si>
  <si>
    <t xml:space="preserve">Rock Crab</t>
  </si>
  <si>
    <t xml:space="preserve">Rustvale</t>
  </si>
  <si>
    <t xml:space="preserve">Magma Mite</t>
  </si>
  <si>
    <t xml:space="preserve">Rustvale (groups of 4)</t>
  </si>
  <si>
    <t xml:space="preserve">Grub Mother</t>
  </si>
  <si>
    <t xml:space="preserve">Cave 1 mini-boss</t>
  </si>
  <si>
    <t xml:space="preserve">Crystal Warden</t>
  </si>
  <si>
    <t xml:space="preserve">Cave 2 mini-boss</t>
  </si>
  <si>
    <t xml:space="preserve">Basalt Golem</t>
  </si>
  <si>
    <t xml:space="preserve">Cave 3 boss (drops the Core Heart)</t>
  </si>
  <si>
    <t xml:space="preserve">Scrap Hauler</t>
  </si>
  <si>
    <t xml:space="preserve">Cave 4 mini-boss (charges, crashes)</t>
  </si>
  <si>
    <t xml:space="preserve">Slag Golem</t>
  </si>
  <si>
    <t xml:space="preserve">Cave 5 mini-boss (slam, mites)</t>
  </si>
  <si>
    <t xml:space="preserve">Foundry Titan</t>
  </si>
  <si>
    <t xml:space="preserve">Cave 6 boss (slag volleys, slam; drops the Foundry Heart)</t>
  </si>
  <si>
    <t xml:space="preserve">Seconds of non-stop hitting. Armour is ignored by the Rock Hammer and by marked or stunned enemies. Hull: 60 / 100 / 160 by Tank tier; it repairs at outposts.</t>
  </si>
  <si>
    <t xml:space="preserve">Upgrade</t>
  </si>
  <si>
    <t xml:space="preserve">Per level</t>
  </si>
  <si>
    <t xml:space="preserve">Max level</t>
  </si>
  <si>
    <t xml:space="preserve">At max</t>
  </si>
  <si>
    <t xml:space="preserve">Base value</t>
  </si>
  <si>
    <t xml:space="preserve">Total at max</t>
  </si>
  <si>
    <t xml:space="preserve">Magnet (blocks)</t>
  </si>
  <si>
    <t xml:space="preserve">Pickup range; pull speed +25% a level</t>
  </si>
  <si>
    <t xml:space="preserve">Hull plating (hull)</t>
  </si>
  <si>
    <t xml:space="preserve">Base = Small Tank hull</t>
  </si>
  <si>
    <t xml:space="preserve">Damage mitigation</t>
  </si>
  <si>
    <t xml:space="preserve">Fraction of each hit removed</t>
  </si>
  <si>
    <t xml:space="preserve">Field repair (hull/s)</t>
  </si>
  <si>
    <t xml:space="preserve">Only in the caves</t>
  </si>
  <si>
    <t xml:space="preserve">Weapon power</t>
  </si>
  <si>
    <t xml:space="preserve">Multiplies every weapon</t>
  </si>
  <si>
    <t xml:space="preserve">Prospector's luck</t>
  </si>
  <si>
    <t xml:space="preserve">Chance of +1 ore piece per ore block</t>
  </si>
  <si>
    <t xml:space="preserve">Added to the canopy scanner (Glass Bubble has 0)</t>
  </si>
  <si>
    <t xml:space="preserve">Level</t>
  </si>
  <si>
    <t xml:space="preserve">Flux cost</t>
  </si>
  <si>
    <t xml:space="preserve">Total Flux</t>
  </si>
  <si>
    <t xml:space="preserve">Hours of 1 bot (10/min)</t>
  </si>
  <si>
    <t xml:space="preserve">Maxing all seven upgrades</t>
  </si>
  <si>
    <t xml:space="preserve">Ore drops: each ore block holds 1–4 pieces (average 2.5). Pieces stay on the floor until you leave the cave.</t>
  </si>
  <si>
    <t xml:space="preserve">Contract</t>
  </si>
  <si>
    <t xml:space="preserve">Size · tier 0</t>
  </si>
  <si>
    <t xml:space="preserve">Tier 1</t>
  </si>
  <si>
    <t xml:space="preserve">Tier 2</t>
  </si>
  <si>
    <t xml:space="preserve">Tier 3</t>
  </si>
  <si>
    <t xml:space="preserve">Coins (tier 0)</t>
  </si>
  <si>
    <t xml:space="preserve">Flux</t>
  </si>
  <si>
    <t xml:space="preserve">Coins tier 1</t>
  </si>
  <si>
    <t xml:space="preserve">Coins tier 2</t>
  </si>
  <si>
    <t xml:space="preserve">Coins tier 3</t>
  </si>
  <si>
    <t xml:space="preserve">Dig blocks</t>
  </si>
  <si>
    <t xml:space="preserve">Collect one kind of ore</t>
  </si>
  <si>
    <t xml:space="preserve">Defeat enemies</t>
  </si>
  <si>
    <t xml:space="preserve">Defeat one kind of enemy</t>
  </si>
  <si>
    <t xml:space="preserve">Send ore home</t>
  </si>
  <si>
    <t xml:space="preserve">Refine materials</t>
  </si>
  <si>
    <t xml:space="preserve">Earn coins selling</t>
  </si>
  <si>
    <t xml:space="preserve">Open caches</t>
  </si>
  <si>
    <t xml:space="preserve">Reach a depth (m)</t>
  </si>
  <si>
    <t xml:space="preserve">Use tools</t>
  </si>
  <si>
    <t xml:space="preserve">Daily bonus (all three)</t>
  </si>
  <si>
    <t xml:space="preserve">Coin growth per tier</t>
  </si>
  <si>
    <t xml:space="preserve">Three contracts are picked at random each day (same three all day, new ones at midnight). Tier: 0 = start, 1 = Ember Idol home, 2 = Storm Lens home, 3 = Core Heart home (Rustvale).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</si>
</sst>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.0\×"/>
    <numFmt numFmtId="167" formatCode="0.0%"/>
    <numFmt numFmtId="168" formatCode="#,##0"/>
    <numFmt numFmtId="169" formatCode="0.0"/>
    <numFmt numFmtId="170" formatCode="#,##0;\(#,##0\);0"/>
    <numFmt numFmtId="171" formatCode="0"/>
    <numFmt numFmtId="172" formatCode="0.00"/>
    <numFmt numFmtId="173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A2B2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2B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6"/>
  </cols>
  <sheetData>
    <row r="1" customFormat="false" ht="15" hidden="false" customHeight="false" outlineLevel="0" collapsed="false">
      <c r="A1" s="7" t="s">
        <v>22</v>
      </c>
      <c r="B1" s="7" t="s">
        <v>23</v>
      </c>
      <c r="C1" s="7" t="s">
        <v>24</v>
      </c>
    </row>
    <row r="2" customFormat="false" ht="15" hidden="false" customHeight="false" outlineLevel="0" collapsed="false">
      <c r="A2" s="2" t="s">
        <v>25</v>
      </c>
      <c r="B2" s="4" t="n">
        <v>4</v>
      </c>
      <c r="C2" s="6" t="s">
        <v>26</v>
      </c>
    </row>
    <row r="3" customFormat="false" ht="15" hidden="false" customHeight="false" outlineLevel="0" collapsed="false">
      <c r="A3" s="2" t="s">
        <v>27</v>
      </c>
      <c r="B3" s="4" t="n">
        <v>0.5</v>
      </c>
      <c r="C3" s="6" t="s">
        <v>28</v>
      </c>
    </row>
    <row r="4" customFormat="false" ht="15" hidden="false" customHeight="false" outlineLevel="0" collapsed="false">
      <c r="A4" s="2" t="s">
        <v>29</v>
      </c>
      <c r="B4" s="4" t="n">
        <v>1.2</v>
      </c>
      <c r="C4" s="6" t="s">
        <v>30</v>
      </c>
    </row>
    <row r="5" customFormat="false" ht="15" hidden="false" customHeight="false" outlineLevel="0" collapsed="false">
      <c r="A5" s="2" t="s">
        <v>31</v>
      </c>
      <c r="B5" s="4" t="n">
        <v>45</v>
      </c>
      <c r="C5" s="6" t="s">
        <v>32</v>
      </c>
    </row>
    <row r="6" customFormat="false" ht="15" hidden="false" customHeight="false" outlineLevel="0" collapsed="false">
      <c r="A6" s="2" t="s">
        <v>33</v>
      </c>
      <c r="B6" s="4" t="n">
        <v>25</v>
      </c>
      <c r="C6" s="6" t="s">
        <v>34</v>
      </c>
    </row>
    <row r="7" customFormat="false" ht="15" hidden="false" customHeight="false" outlineLevel="0" collapsed="false">
      <c r="A7" s="2" t="s">
        <v>35</v>
      </c>
      <c r="B7" s="4" t="n">
        <v>80</v>
      </c>
      <c r="C7" s="6" t="s">
        <v>36</v>
      </c>
    </row>
    <row r="8" customFormat="false" ht="15" hidden="false" customHeight="false" outlineLevel="0" collapsed="false">
      <c r="A8" s="2" t="s">
        <v>37</v>
      </c>
      <c r="B8" s="4" t="n">
        <v>2.5</v>
      </c>
      <c r="C8" s="6" t="s">
        <v>38</v>
      </c>
    </row>
    <row r="9" customFormat="false" ht="15" hidden="false" customHeight="false" outlineLevel="0" collapsed="false">
      <c r="A9" s="2" t="s">
        <v>39</v>
      </c>
      <c r="B9" s="4" t="n">
        <v>60</v>
      </c>
      <c r="C9" s="6" t="s">
        <v>40</v>
      </c>
    </row>
    <row r="10" customFormat="false" ht="15" hidden="false" customHeight="false" outlineLevel="0" collapsed="false">
      <c r="A10" s="2" t="s">
        <v>41</v>
      </c>
      <c r="B10" s="4" t="n">
        <v>160</v>
      </c>
      <c r="C10" s="6" t="s">
        <v>42</v>
      </c>
    </row>
    <row r="11" customFormat="false" ht="15" hidden="false" customHeight="false" outlineLevel="0" collapsed="false">
      <c r="A11" s="2" t="s">
        <v>43</v>
      </c>
      <c r="B11" s="4" t="n">
        <v>2</v>
      </c>
      <c r="C11" s="6" t="s">
        <v>44</v>
      </c>
    </row>
    <row r="12" customFormat="false" ht="15" hidden="false" customHeight="false" outlineLevel="0" collapsed="false">
      <c r="A12" s="2" t="s">
        <v>45</v>
      </c>
      <c r="B12" s="4" t="n">
        <v>4</v>
      </c>
      <c r="C12" s="6" t="s">
        <v>46</v>
      </c>
    </row>
    <row r="13" customFormat="false" ht="15" hidden="false" customHeight="false" outlineLevel="0" collapsed="false">
      <c r="A13" s="2" t="s">
        <v>47</v>
      </c>
      <c r="B13" s="4" t="n">
        <v>54</v>
      </c>
      <c r="C13" s="6" t="s">
        <v>48</v>
      </c>
    </row>
    <row r="14" customFormat="false" ht="15" hidden="false" customHeight="false" outlineLevel="0" collapsed="false">
      <c r="A14" s="2" t="s">
        <v>49</v>
      </c>
      <c r="B14" s="8" t="n">
        <v>0.5</v>
      </c>
      <c r="C14" s="6" t="s">
        <v>50</v>
      </c>
    </row>
    <row r="15" customFormat="false" ht="15" hidden="false" customHeight="false" outlineLevel="0" collapsed="false">
      <c r="A15" s="2" t="s">
        <v>51</v>
      </c>
      <c r="B15" s="4" t="n">
        <v>0.4</v>
      </c>
      <c r="C15" s="6" t="s">
        <v>52</v>
      </c>
    </row>
    <row r="16" customFormat="false" ht="15" hidden="false" customHeight="false" outlineLevel="0" collapsed="false">
      <c r="A16" s="2" t="s">
        <v>53</v>
      </c>
      <c r="B16" s="4" t="n">
        <v>1.8</v>
      </c>
      <c r="C16" s="6" t="s">
        <v>54</v>
      </c>
    </row>
    <row r="17" customFormat="false" ht="15" hidden="false" customHeight="false" outlineLevel="0" collapsed="false">
      <c r="A17" s="2" t="s">
        <v>55</v>
      </c>
      <c r="B17" s="8" t="n">
        <v>0.25</v>
      </c>
      <c r="C17" s="6" t="s">
        <v>56</v>
      </c>
    </row>
    <row r="18" customFormat="false" ht="15" hidden="false" customHeight="false" outlineLevel="0" collapsed="false">
      <c r="A18" s="2" t="s">
        <v>57</v>
      </c>
      <c r="B18" s="8" t="n">
        <v>0.3</v>
      </c>
      <c r="C18" s="6" t="s">
        <v>58</v>
      </c>
    </row>
    <row r="19" customFormat="false" ht="15" hidden="false" customHeight="false" outlineLevel="0" collapsed="false">
      <c r="A19" s="2" t="s">
        <v>59</v>
      </c>
      <c r="B19" s="4" t="n">
        <v>10</v>
      </c>
      <c r="C19" s="6" t="s">
        <v>60</v>
      </c>
    </row>
    <row r="20" customFormat="false" ht="15" hidden="false" customHeight="false" outlineLevel="0" collapsed="false">
      <c r="A20" s="2" t="s">
        <v>61</v>
      </c>
      <c r="B20" s="4" t="n">
        <v>8</v>
      </c>
      <c r="C20" s="6" t="s">
        <v>62</v>
      </c>
    </row>
    <row r="21" customFormat="false" ht="15" hidden="false" customHeight="false" outlineLevel="0" collapsed="false">
      <c r="A21" s="2" t="s">
        <v>63</v>
      </c>
      <c r="B21" s="4" t="n">
        <v>25</v>
      </c>
      <c r="C21" s="6" t="s">
        <v>64</v>
      </c>
    </row>
    <row r="22" customFormat="false" ht="15" hidden="false" customHeight="false" outlineLevel="0" collapsed="false">
      <c r="A22" s="2" t="s">
        <v>65</v>
      </c>
      <c r="B22" s="4" t="n">
        <v>75</v>
      </c>
      <c r="C22" s="6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5" min="13" style="0" width="12"/>
    <col collapsed="false" customWidth="true" hidden="false" outlineLevel="0" max="18" min="16" style="0" width="13"/>
    <col collapsed="false" customWidth="true" hidden="false" outlineLevel="0" max="19" min="19" style="0" width="28"/>
  </cols>
  <sheetData>
    <row r="1" customFormat="false" ht="39.55" hidden="false" customHeight="false" outlineLevel="0" collapsed="false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  <c r="M1" s="7" t="s">
        <v>79</v>
      </c>
      <c r="N1" s="7" t="s">
        <v>80</v>
      </c>
      <c r="O1" s="7" t="s">
        <v>81</v>
      </c>
      <c r="P1" s="7" t="s">
        <v>82</v>
      </c>
      <c r="Q1" s="7" t="s">
        <v>83</v>
      </c>
      <c r="R1" s="7" t="s">
        <v>84</v>
      </c>
      <c r="S1" s="7" t="s">
        <v>85</v>
      </c>
    </row>
    <row r="2" customFormat="false" ht="15" hidden="false" customHeight="false" outlineLevel="0" collapsed="false">
      <c r="A2" s="2" t="n">
        <v>1</v>
      </c>
      <c r="B2" s="2" t="s">
        <v>86</v>
      </c>
      <c r="C2" s="9" t="n">
        <v>1</v>
      </c>
      <c r="D2" s="2" t="s">
        <v>87</v>
      </c>
      <c r="E2" s="10" t="n">
        <v>0.06</v>
      </c>
      <c r="F2" s="2" t="s">
        <v>88</v>
      </c>
      <c r="G2" s="10" t="n">
        <v>0.025</v>
      </c>
      <c r="H2" s="8" t="n">
        <v>0.04</v>
      </c>
      <c r="I2" s="8" t="n">
        <v>0</v>
      </c>
      <c r="J2" s="8" t="n">
        <v>0</v>
      </c>
      <c r="K2" s="4" t="n">
        <v>0</v>
      </c>
      <c r="L2" s="4" t="n">
        <v>0</v>
      </c>
      <c r="M2" s="2" t="s">
        <v>89</v>
      </c>
      <c r="N2" s="11" t="n">
        <v>300</v>
      </c>
      <c r="O2" s="12" t="n">
        <f aca="false">ROUND(Settings!$B$7*Settings!$B$8^(A2-1),0)</f>
        <v>80</v>
      </c>
      <c r="P2" s="4" t="n">
        <v>0</v>
      </c>
      <c r="Q2" s="12" t="n">
        <f aca="false">ROUND(Settings!$B$9*C2,0)</f>
        <v>60</v>
      </c>
      <c r="R2" s="12" t="n">
        <f aca="false">ROUND(Settings!$B$10*C2,0)</f>
        <v>160</v>
      </c>
      <c r="S2" s="2" t="s">
        <v>90</v>
      </c>
    </row>
    <row r="3" customFormat="false" ht="15" hidden="false" customHeight="false" outlineLevel="0" collapsed="false">
      <c r="A3" s="2" t="n">
        <v>2</v>
      </c>
      <c r="B3" s="2" t="s">
        <v>91</v>
      </c>
      <c r="C3" s="9" t="n">
        <v>1.5</v>
      </c>
      <c r="D3" s="2" t="s">
        <v>88</v>
      </c>
      <c r="E3" s="10" t="n">
        <v>0.05</v>
      </c>
      <c r="F3" s="2" t="s">
        <v>92</v>
      </c>
      <c r="G3" s="10" t="n">
        <v>0.03</v>
      </c>
      <c r="H3" s="8" t="n">
        <v>0.1</v>
      </c>
      <c r="I3" s="8" t="n">
        <v>0.02</v>
      </c>
      <c r="J3" s="8" t="n">
        <v>0</v>
      </c>
      <c r="K3" s="4" t="n">
        <v>1</v>
      </c>
      <c r="L3" s="4" t="n">
        <v>0</v>
      </c>
      <c r="M3" s="2" t="s">
        <v>93</v>
      </c>
      <c r="N3" s="11" t="n">
        <v>800</v>
      </c>
      <c r="O3" s="12" t="n">
        <f aca="false">ROUND(Settings!$B$7*Settings!$B$8^(A3-1),0)</f>
        <v>200</v>
      </c>
      <c r="P3" s="4" t="n">
        <v>1</v>
      </c>
      <c r="Q3" s="12" t="n">
        <f aca="false">ROUND(Settings!$B$9*C3,0)</f>
        <v>90</v>
      </c>
      <c r="R3" s="12" t="n">
        <f aca="false">ROUND(Settings!$B$10*C3,0)</f>
        <v>240</v>
      </c>
      <c r="S3" s="2" t="s">
        <v>94</v>
      </c>
    </row>
    <row r="4" customFormat="false" ht="15" hidden="false" customHeight="false" outlineLevel="0" collapsed="false">
      <c r="A4" s="2" t="n">
        <v>3</v>
      </c>
      <c r="B4" s="2" t="s">
        <v>95</v>
      </c>
      <c r="C4" s="9" t="n">
        <v>2</v>
      </c>
      <c r="D4" s="2" t="s">
        <v>92</v>
      </c>
      <c r="E4" s="10" t="n">
        <v>0.05</v>
      </c>
      <c r="F4" s="2" t="s">
        <v>96</v>
      </c>
      <c r="G4" s="10" t="n">
        <v>0.025</v>
      </c>
      <c r="H4" s="8" t="n">
        <v>0.06</v>
      </c>
      <c r="I4" s="8" t="n">
        <v>0.07</v>
      </c>
      <c r="J4" s="8" t="n">
        <v>0.08</v>
      </c>
      <c r="K4" s="4" t="n">
        <v>1</v>
      </c>
      <c r="L4" s="4" t="n">
        <v>3</v>
      </c>
      <c r="M4" s="2" t="s">
        <v>97</v>
      </c>
      <c r="N4" s="11" t="n">
        <v>2000</v>
      </c>
      <c r="O4" s="12" t="n">
        <f aca="false">ROUND(Settings!$B$7*Settings!$B$8^(A4-1),0)</f>
        <v>500</v>
      </c>
      <c r="P4" s="4" t="n">
        <v>2</v>
      </c>
      <c r="Q4" s="12" t="n">
        <f aca="false">ROUND(Settings!$B$9*C4,0)</f>
        <v>120</v>
      </c>
      <c r="R4" s="12" t="n">
        <f aca="false">ROUND(Settings!$B$10*C4,0)</f>
        <v>320</v>
      </c>
      <c r="S4" s="2" t="s">
        <v>98</v>
      </c>
    </row>
    <row r="5" customFormat="false" ht="15" hidden="false" customHeight="false" outlineLevel="0" collapsed="false">
      <c r="A5" s="2" t="n">
        <v>4</v>
      </c>
      <c r="B5" s="2" t="s">
        <v>99</v>
      </c>
      <c r="C5" s="9" t="n">
        <v>2.2</v>
      </c>
      <c r="D5" s="2" t="s">
        <v>88</v>
      </c>
      <c r="E5" s="10" t="n">
        <v>0.045</v>
      </c>
      <c r="F5" s="2" t="s">
        <v>92</v>
      </c>
      <c r="G5" s="10" t="n">
        <v>0.02</v>
      </c>
      <c r="H5" s="8" t="n">
        <v>0.07</v>
      </c>
      <c r="I5" s="8" t="n">
        <v>0</v>
      </c>
      <c r="J5" s="8" t="n">
        <v>0.02</v>
      </c>
      <c r="K5" s="4" t="n">
        <v>1</v>
      </c>
      <c r="L5" s="4" t="n">
        <v>1</v>
      </c>
      <c r="M5" s="2" t="s">
        <v>100</v>
      </c>
      <c r="N5" s="11" t="n">
        <v>2500</v>
      </c>
      <c r="O5" s="12" t="n">
        <f aca="false">ROUND(Settings!$B$7*Settings!$B$8^(A5-1),0)</f>
        <v>1250</v>
      </c>
      <c r="P5" s="4" t="n">
        <v>1</v>
      </c>
      <c r="Q5" s="12" t="n">
        <f aca="false">ROUND(Settings!$B$9*C5,0)</f>
        <v>132</v>
      </c>
      <c r="R5" s="12" t="n">
        <f aca="false">ROUND(Settings!$B$10*C5,0)</f>
        <v>352</v>
      </c>
      <c r="S5" s="2" t="s">
        <v>94</v>
      </c>
    </row>
    <row r="6" customFormat="false" ht="15" hidden="false" customHeight="false" outlineLevel="0" collapsed="false">
      <c r="A6" s="2" t="n">
        <v>5</v>
      </c>
      <c r="B6" s="2" t="s">
        <v>101</v>
      </c>
      <c r="C6" s="9" t="n">
        <v>2.6</v>
      </c>
      <c r="D6" s="2" t="s">
        <v>92</v>
      </c>
      <c r="E6" s="10" t="n">
        <v>0.045</v>
      </c>
      <c r="F6" s="2" t="s">
        <v>96</v>
      </c>
      <c r="G6" s="10" t="n">
        <v>0.015</v>
      </c>
      <c r="H6" s="8" t="n">
        <v>0.06</v>
      </c>
      <c r="I6" s="8" t="n">
        <v>0.05</v>
      </c>
      <c r="J6" s="8" t="n">
        <v>0.04</v>
      </c>
      <c r="K6" s="4" t="n">
        <v>1</v>
      </c>
      <c r="L6" s="4" t="n">
        <v>2</v>
      </c>
      <c r="M6" s="2" t="s">
        <v>102</v>
      </c>
      <c r="N6" s="11" t="n">
        <v>4000</v>
      </c>
      <c r="O6" s="12" t="n">
        <f aca="false">ROUND(Settings!$B$7*Settings!$B$8^(A6-1),0)</f>
        <v>3125</v>
      </c>
      <c r="P6" s="4" t="n">
        <v>1</v>
      </c>
      <c r="Q6" s="12" t="n">
        <f aca="false">ROUND(Settings!$B$9*C6,0)</f>
        <v>156</v>
      </c>
      <c r="R6" s="12" t="n">
        <f aca="false">ROUND(Settings!$B$10*C6,0)</f>
        <v>416</v>
      </c>
      <c r="S6" s="2" t="s">
        <v>98</v>
      </c>
    </row>
    <row r="7" customFormat="false" ht="15" hidden="false" customHeight="false" outlineLevel="0" collapsed="false">
      <c r="A7" s="2" t="n">
        <v>6</v>
      </c>
      <c r="B7" s="2" t="s">
        <v>103</v>
      </c>
      <c r="C7" s="9" t="n">
        <v>3</v>
      </c>
      <c r="D7" s="2" t="s">
        <v>92</v>
      </c>
      <c r="E7" s="10" t="n">
        <v>0.05</v>
      </c>
      <c r="F7" s="2" t="s">
        <v>96</v>
      </c>
      <c r="G7" s="10" t="n">
        <v>0.035</v>
      </c>
      <c r="H7" s="8" t="n">
        <v>0.05</v>
      </c>
      <c r="I7" s="8" t="n">
        <v>0.09</v>
      </c>
      <c r="J7" s="8" t="n">
        <v>0.03</v>
      </c>
      <c r="K7" s="4" t="n">
        <v>2</v>
      </c>
      <c r="L7" s="4" t="n">
        <v>2</v>
      </c>
      <c r="M7" s="2" t="s">
        <v>104</v>
      </c>
      <c r="N7" s="11" t="n">
        <v>6000</v>
      </c>
      <c r="O7" s="12" t="n">
        <f aca="false">ROUND(Settings!$B$7*Settings!$B$8^(A7-1),0)</f>
        <v>7813</v>
      </c>
      <c r="P7" s="4" t="n">
        <v>3</v>
      </c>
      <c r="Q7" s="12" t="n">
        <f aca="false">ROUND(Settings!$B$9*C7,0)</f>
        <v>180</v>
      </c>
      <c r="R7" s="12" t="n">
        <f aca="false">ROUND(Settings!$B$10*C7,0)</f>
        <v>480</v>
      </c>
      <c r="S7" s="2" t="s">
        <v>105</v>
      </c>
    </row>
    <row r="9" customFormat="false" ht="15" hidden="false" customHeight="false" outlineLevel="0" collapsed="false">
      <c r="A9" s="6" t="s">
        <v>106</v>
      </c>
    </row>
    <row r="10" customFormat="false" ht="15" hidden="false" customHeight="false" outlineLevel="0" collapsed="false">
      <c r="A10" s="6" t="s">
        <v>107</v>
      </c>
    </row>
    <row r="11" customFormat="false" ht="15" hidden="false" customHeight="false" outlineLevel="0" collapsed="false">
      <c r="A11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6"/>
  </cols>
  <sheetData>
    <row r="1" customFormat="false" ht="26.85" hidden="false" customHeight="false" outlineLevel="0" collapsed="false">
      <c r="A1" s="7" t="s">
        <v>109</v>
      </c>
      <c r="B1" s="7" t="s">
        <v>110</v>
      </c>
      <c r="C1" s="7" t="s">
        <v>111</v>
      </c>
      <c r="D1" s="7" t="s">
        <v>112</v>
      </c>
      <c r="E1" s="7" t="s">
        <v>113</v>
      </c>
      <c r="F1" s="7" t="s">
        <v>23</v>
      </c>
      <c r="G1" s="7" t="s">
        <v>114</v>
      </c>
      <c r="H1" s="7" t="s">
        <v>23</v>
      </c>
      <c r="I1" s="7" t="s">
        <v>115</v>
      </c>
    </row>
    <row r="2" customFormat="false" ht="15" hidden="false" customHeight="false" outlineLevel="0" collapsed="false">
      <c r="A2" s="2" t="s">
        <v>116</v>
      </c>
      <c r="B2" s="2" t="n">
        <v>1</v>
      </c>
      <c r="C2" s="2" t="s">
        <v>117</v>
      </c>
      <c r="D2" s="11" t="n">
        <v>0</v>
      </c>
      <c r="E2" s="2" t="s">
        <v>118</v>
      </c>
      <c r="F2" s="4" t="n">
        <v>2.5</v>
      </c>
      <c r="G2" s="2" t="s">
        <v>119</v>
      </c>
      <c r="H2" s="4" t="n">
        <v>0</v>
      </c>
      <c r="I2" s="13" t="n">
        <f aca="false">SUM(D2:D2)</f>
        <v>0</v>
      </c>
    </row>
    <row r="3" customFormat="false" ht="15" hidden="false" customHeight="false" outlineLevel="0" collapsed="false">
      <c r="A3" s="2" t="s">
        <v>116</v>
      </c>
      <c r="B3" s="2" t="n">
        <v>2</v>
      </c>
      <c r="C3" s="2" t="s">
        <v>120</v>
      </c>
      <c r="D3" s="11" t="n">
        <v>120</v>
      </c>
      <c r="E3" s="2" t="s">
        <v>118</v>
      </c>
      <c r="F3" s="4" t="n">
        <v>4</v>
      </c>
      <c r="G3" s="2" t="s">
        <v>119</v>
      </c>
      <c r="H3" s="4" t="n">
        <v>3</v>
      </c>
      <c r="I3" s="13" t="n">
        <f aca="false">SUM(D2:D3)</f>
        <v>120</v>
      </c>
    </row>
    <row r="4" customFormat="false" ht="15" hidden="false" customHeight="false" outlineLevel="0" collapsed="false">
      <c r="A4" s="2" t="s">
        <v>116</v>
      </c>
      <c r="B4" s="2" t="n">
        <v>3</v>
      </c>
      <c r="C4" s="2" t="s">
        <v>121</v>
      </c>
      <c r="D4" s="11" t="n">
        <v>1000</v>
      </c>
      <c r="E4" s="2" t="s">
        <v>118</v>
      </c>
      <c r="F4" s="4" t="n">
        <v>6</v>
      </c>
      <c r="G4" s="2" t="s">
        <v>119</v>
      </c>
      <c r="H4" s="4" t="n">
        <v>6</v>
      </c>
      <c r="I4" s="13" t="n">
        <f aca="false">SUM(D2:D4)</f>
        <v>1120</v>
      </c>
    </row>
    <row r="5" customFormat="false" ht="15" hidden="false" customHeight="false" outlineLevel="0" collapsed="false">
      <c r="A5" s="2" t="s">
        <v>122</v>
      </c>
      <c r="B5" s="2" t="n">
        <v>1</v>
      </c>
      <c r="C5" s="2" t="s">
        <v>123</v>
      </c>
      <c r="D5" s="11" t="n">
        <v>0</v>
      </c>
      <c r="E5" s="2" t="s">
        <v>124</v>
      </c>
      <c r="F5" s="4" t="n">
        <v>1</v>
      </c>
      <c r="G5" s="2" t="s">
        <v>125</v>
      </c>
      <c r="H5" s="2" t="s">
        <v>126</v>
      </c>
      <c r="I5" s="13" t="n">
        <f aca="false">SUM(D5:D5)</f>
        <v>0</v>
      </c>
    </row>
    <row r="6" customFormat="false" ht="15" hidden="false" customHeight="false" outlineLevel="0" collapsed="false">
      <c r="A6" s="2" t="s">
        <v>122</v>
      </c>
      <c r="B6" s="2" t="n">
        <v>2</v>
      </c>
      <c r="C6" s="2" t="s">
        <v>127</v>
      </c>
      <c r="D6" s="11" t="n">
        <v>60</v>
      </c>
      <c r="E6" s="2" t="s">
        <v>124</v>
      </c>
      <c r="F6" s="4" t="n">
        <v>3</v>
      </c>
      <c r="G6" s="2" t="s">
        <v>125</v>
      </c>
      <c r="H6" s="2" t="s">
        <v>128</v>
      </c>
      <c r="I6" s="13" t="n">
        <f aca="false">SUM(D5:D6)</f>
        <v>60</v>
      </c>
    </row>
    <row r="7" customFormat="false" ht="15" hidden="false" customHeight="false" outlineLevel="0" collapsed="false">
      <c r="A7" s="2" t="s">
        <v>122</v>
      </c>
      <c r="B7" s="2" t="n">
        <v>3</v>
      </c>
      <c r="C7" s="2" t="s">
        <v>129</v>
      </c>
      <c r="D7" s="11" t="n">
        <v>900</v>
      </c>
      <c r="E7" s="2" t="s">
        <v>124</v>
      </c>
      <c r="F7" s="4" t="n">
        <v>8</v>
      </c>
      <c r="G7" s="2" t="s">
        <v>125</v>
      </c>
      <c r="H7" s="2" t="s">
        <v>130</v>
      </c>
      <c r="I7" s="13" t="n">
        <f aca="false">SUM(D5:D7)</f>
        <v>960</v>
      </c>
    </row>
    <row r="8" customFormat="false" ht="15" hidden="false" customHeight="false" outlineLevel="0" collapsed="false">
      <c r="A8" s="2" t="s">
        <v>131</v>
      </c>
      <c r="B8" s="2" t="n">
        <v>1</v>
      </c>
      <c r="C8" s="2" t="s">
        <v>132</v>
      </c>
      <c r="D8" s="11" t="n">
        <v>0</v>
      </c>
      <c r="E8" s="2" t="s">
        <v>133</v>
      </c>
      <c r="F8" s="4" t="n">
        <v>80</v>
      </c>
      <c r="G8" s="2" t="s">
        <v>134</v>
      </c>
      <c r="H8" s="4" t="n">
        <v>8</v>
      </c>
      <c r="I8" s="13" t="n">
        <f aca="false">SUM(D8:D8)</f>
        <v>0</v>
      </c>
    </row>
    <row r="9" customFormat="false" ht="15" hidden="false" customHeight="false" outlineLevel="0" collapsed="false">
      <c r="A9" s="2" t="s">
        <v>131</v>
      </c>
      <c r="B9" s="2" t="n">
        <v>2</v>
      </c>
      <c r="C9" s="2" t="s">
        <v>135</v>
      </c>
      <c r="D9" s="11" t="n">
        <v>150</v>
      </c>
      <c r="E9" s="2" t="s">
        <v>133</v>
      </c>
      <c r="F9" s="4" t="n">
        <v>140</v>
      </c>
      <c r="G9" s="2" t="s">
        <v>134</v>
      </c>
      <c r="H9" s="4" t="n">
        <v>16</v>
      </c>
      <c r="I9" s="13" t="n">
        <f aca="false">SUM(D8:D9)</f>
        <v>150</v>
      </c>
    </row>
    <row r="10" customFormat="false" ht="15" hidden="false" customHeight="false" outlineLevel="0" collapsed="false">
      <c r="A10" s="2" t="s">
        <v>131</v>
      </c>
      <c r="B10" s="2" t="n">
        <v>3</v>
      </c>
      <c r="C10" s="2" t="s">
        <v>136</v>
      </c>
      <c r="D10" s="11" t="n">
        <v>1400</v>
      </c>
      <c r="E10" s="2" t="s">
        <v>133</v>
      </c>
      <c r="F10" s="4" t="n">
        <v>240</v>
      </c>
      <c r="G10" s="2" t="s">
        <v>134</v>
      </c>
      <c r="H10" s="4" t="n">
        <v>30</v>
      </c>
      <c r="I10" s="13" t="n">
        <f aca="false">SUM(D8:D10)</f>
        <v>1550</v>
      </c>
    </row>
    <row r="11" customFormat="false" ht="15" hidden="false" customHeight="false" outlineLevel="0" collapsed="false">
      <c r="A11" s="2" t="s">
        <v>137</v>
      </c>
      <c r="B11" s="2" t="n">
        <v>1</v>
      </c>
      <c r="C11" s="2" t="s">
        <v>138</v>
      </c>
      <c r="D11" s="11" t="n">
        <v>0</v>
      </c>
      <c r="E11" s="2" t="s">
        <v>139</v>
      </c>
      <c r="F11" s="4" t="n">
        <v>4</v>
      </c>
      <c r="G11" s="2" t="s">
        <v>140</v>
      </c>
      <c r="H11" s="8" t="n">
        <v>1</v>
      </c>
      <c r="I11" s="13" t="n">
        <f aca="false">SUM(D11:D11)</f>
        <v>0</v>
      </c>
    </row>
    <row r="12" customFormat="false" ht="15" hidden="false" customHeight="false" outlineLevel="0" collapsed="false">
      <c r="A12" s="2" t="s">
        <v>137</v>
      </c>
      <c r="B12" s="2" t="n">
        <v>2</v>
      </c>
      <c r="C12" s="2" t="s">
        <v>141</v>
      </c>
      <c r="D12" s="11" t="n">
        <v>90</v>
      </c>
      <c r="E12" s="2" t="s">
        <v>139</v>
      </c>
      <c r="F12" s="4" t="n">
        <v>5.5</v>
      </c>
      <c r="G12" s="2" t="s">
        <v>140</v>
      </c>
      <c r="H12" s="8" t="n">
        <v>0.8</v>
      </c>
      <c r="I12" s="13" t="n">
        <f aca="false">SUM(D11:D12)</f>
        <v>90</v>
      </c>
    </row>
    <row r="13" customFormat="false" ht="15" hidden="false" customHeight="false" outlineLevel="0" collapsed="false">
      <c r="A13" s="2" t="s">
        <v>137</v>
      </c>
      <c r="B13" s="2" t="n">
        <v>3</v>
      </c>
      <c r="C13" s="2" t="s">
        <v>142</v>
      </c>
      <c r="D13" s="11" t="n">
        <v>1200</v>
      </c>
      <c r="E13" s="2" t="s">
        <v>139</v>
      </c>
      <c r="F13" s="4" t="n">
        <v>7</v>
      </c>
      <c r="G13" s="2" t="s">
        <v>140</v>
      </c>
      <c r="H13" s="8" t="n">
        <v>0.55</v>
      </c>
      <c r="I13" s="13" t="n">
        <f aca="false">SUM(D11:D13)</f>
        <v>1290</v>
      </c>
    </row>
    <row r="15" customFormat="false" ht="15" hidden="false" customHeight="false" outlineLevel="0" collapsed="false">
      <c r="C15" s="3" t="s">
        <v>143</v>
      </c>
      <c r="D15" s="14" t="n">
        <f aca="false">SUM(D2:D13)</f>
        <v>4920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6.85" hidden="false" customHeight="false" outlineLevel="0" collapsed="false">
      <c r="A1" s="7" t="s">
        <v>144</v>
      </c>
      <c r="B1" s="7" t="s">
        <v>145</v>
      </c>
      <c r="C1" s="7" t="s">
        <v>146</v>
      </c>
      <c r="D1" s="7" t="s">
        <v>147</v>
      </c>
      <c r="E1" s="7" t="s">
        <v>148</v>
      </c>
      <c r="F1" s="7" t="s">
        <v>149</v>
      </c>
    </row>
    <row r="2" customFormat="false" ht="15" hidden="false" customHeight="false" outlineLevel="0" collapsed="false">
      <c r="A2" s="2" t="s">
        <v>150</v>
      </c>
      <c r="B2" s="4" t="n">
        <v>1</v>
      </c>
      <c r="C2" s="5" t="n">
        <f aca="false">MAX(1,ROUND(B2*Caves!$C$2,0))</f>
        <v>1</v>
      </c>
      <c r="D2" s="5" t="n">
        <f aca="false">MAX(1,ROUND(B2*Caves!$C$3,0))</f>
        <v>2</v>
      </c>
      <c r="E2" s="5" t="n">
        <f aca="false">MAX(1,ROUND(B2*Caves!$C$4,0))</f>
        <v>2</v>
      </c>
      <c r="F2" s="4" t="n">
        <v>2</v>
      </c>
    </row>
    <row r="3" customFormat="false" ht="15" hidden="false" customHeight="false" outlineLevel="0" collapsed="false">
      <c r="A3" s="2" t="s">
        <v>151</v>
      </c>
      <c r="B3" s="4" t="n">
        <v>2</v>
      </c>
      <c r="C3" s="5" t="n">
        <f aca="false">MAX(1,ROUND(B3*Caves!$C$2,0))</f>
        <v>2</v>
      </c>
      <c r="D3" s="5" t="n">
        <f aca="false">MAX(1,ROUND(B3*Caves!$C$3,0))</f>
        <v>3</v>
      </c>
      <c r="E3" s="5" t="n">
        <f aca="false">MAX(1,ROUND(B3*Caves!$C$4,0))</f>
        <v>4</v>
      </c>
      <c r="F3" s="4" t="n">
        <v>4</v>
      </c>
    </row>
    <row r="4" customFormat="false" ht="15" hidden="false" customHeight="false" outlineLevel="0" collapsed="false">
      <c r="A4" s="2" t="s">
        <v>152</v>
      </c>
      <c r="B4" s="4" t="n">
        <v>2</v>
      </c>
      <c r="C4" s="5" t="n">
        <f aca="false">MAX(1,ROUND(B4*Caves!$C$2,0))</f>
        <v>2</v>
      </c>
      <c r="D4" s="5" t="n">
        <f aca="false">MAX(1,ROUND(B4*Caves!$C$3,0))</f>
        <v>3</v>
      </c>
      <c r="E4" s="5" t="n">
        <f aca="false">MAX(1,ROUND(B4*Caves!$C$4,0))</f>
        <v>4</v>
      </c>
      <c r="F4" s="4" t="n">
        <v>5</v>
      </c>
    </row>
    <row r="5" customFormat="false" ht="15" hidden="false" customHeight="false" outlineLevel="0" collapsed="false">
      <c r="A5" s="2" t="s">
        <v>153</v>
      </c>
      <c r="B5" s="4" t="n">
        <v>3</v>
      </c>
      <c r="C5" s="5" t="n">
        <f aca="false">MAX(1,ROUND(B5*Caves!$C$2,0))</f>
        <v>3</v>
      </c>
      <c r="D5" s="5" t="n">
        <f aca="false">MAX(1,ROUND(B5*Caves!$C$3,0))</f>
        <v>5</v>
      </c>
      <c r="E5" s="5" t="n">
        <f aca="false">MAX(1,ROUND(B5*Caves!$C$4,0))</f>
        <v>6</v>
      </c>
      <c r="F5" s="4" t="n">
        <v>9</v>
      </c>
    </row>
    <row r="6" customFormat="false" ht="15" hidden="false" customHeight="false" outlineLevel="0" collapsed="false">
      <c r="A6" s="2" t="s">
        <v>154</v>
      </c>
      <c r="B6" s="4" t="n">
        <v>4</v>
      </c>
      <c r="C6" s="5" t="n">
        <f aca="false">MAX(1,ROUND(B6*Caves!$C$2,0))</f>
        <v>4</v>
      </c>
      <c r="D6" s="5" t="n">
        <f aca="false">MAX(1,ROUND(B6*Caves!$C$3,0))</f>
        <v>6</v>
      </c>
      <c r="E6" s="5" t="n">
        <f aca="false">MAX(1,ROUND(B6*Caves!$C$4,0))</f>
        <v>8</v>
      </c>
      <c r="F6" s="4" t="n">
        <v>10</v>
      </c>
    </row>
    <row r="7" customFormat="false" ht="15" hidden="false" customHeight="false" outlineLevel="0" collapsed="false">
      <c r="A7" s="2" t="s">
        <v>155</v>
      </c>
      <c r="B7" s="4" t="n">
        <v>6</v>
      </c>
      <c r="C7" s="5" t="n">
        <f aca="false">MAX(1,ROUND(B7*Caves!$C$2,0))</f>
        <v>6</v>
      </c>
      <c r="D7" s="5" t="n">
        <f aca="false">MAX(1,ROUND(B7*Caves!$C$3,0))</f>
        <v>9</v>
      </c>
      <c r="E7" s="5" t="n">
        <f aca="false">MAX(1,ROUND(B7*Caves!$C$4,0))</f>
        <v>12</v>
      </c>
      <c r="F7" s="4" t="n">
        <v>16</v>
      </c>
    </row>
    <row r="8" customFormat="false" ht="15" hidden="false" customHeight="false" outlineLevel="0" collapsed="false">
      <c r="A8" s="2" t="s">
        <v>156</v>
      </c>
      <c r="B8" s="4" t="n">
        <v>2</v>
      </c>
      <c r="C8" s="5" t="n">
        <f aca="false">MAX(1,ROUND(B8*Caves!$C$2,0))</f>
        <v>2</v>
      </c>
      <c r="D8" s="5" t="n">
        <f aca="false">MAX(1,ROUND(B8*Caves!$C$3,0))</f>
        <v>3</v>
      </c>
      <c r="E8" s="5" t="n">
        <f aca="false">MAX(1,ROUND(B8*Caves!$C$4,0))</f>
        <v>4</v>
      </c>
      <c r="F8" s="4" t="n">
        <v>3</v>
      </c>
    </row>
    <row r="9" customFormat="false" ht="15" hidden="false" customHeight="false" outlineLevel="0" collapsed="false">
      <c r="A9" s="2" t="s">
        <v>157</v>
      </c>
      <c r="B9" s="4" t="n">
        <v>1</v>
      </c>
      <c r="C9" s="5" t="n">
        <f aca="false">MAX(1,ROUND(B9*Caves!$C$2,0))</f>
        <v>1</v>
      </c>
      <c r="D9" s="5" t="n">
        <f aca="false">MAX(1,ROUND(B9*Caves!$C$3,0))</f>
        <v>2</v>
      </c>
      <c r="E9" s="5" t="n">
        <f aca="false">MAX(1,ROUND(B9*Caves!$C$4,0))</f>
        <v>2</v>
      </c>
      <c r="F9" s="4" t="n">
        <v>5</v>
      </c>
    </row>
    <row r="11" customFormat="false" ht="15" hidden="false" customHeight="false" outlineLevel="0" collapsed="false">
      <c r="A11" s="3" t="s">
        <v>158</v>
      </c>
    </row>
    <row r="12" customFormat="false" ht="26.85" hidden="false" customHeight="false" outlineLevel="0" collapsed="false">
      <c r="A12" s="7" t="s">
        <v>159</v>
      </c>
      <c r="B12" s="7" t="s">
        <v>160</v>
      </c>
      <c r="C12" s="7" t="s">
        <v>123</v>
      </c>
      <c r="D12" s="7" t="s">
        <v>127</v>
      </c>
      <c r="E12" s="7" t="s">
        <v>129</v>
      </c>
    </row>
    <row r="13" customFormat="false" ht="15" hidden="false" customHeight="false" outlineLevel="0" collapsed="false">
      <c r="A13" s="2" t="s">
        <v>161</v>
      </c>
      <c r="B13" s="5" t="n">
        <f aca="false">C2</f>
        <v>1</v>
      </c>
      <c r="C13" s="15" t="n">
        <f aca="false">B13/(F2/(Settings!$B$2*Parts!$F$5))</f>
        <v>2</v>
      </c>
      <c r="D13" s="15" t="n">
        <f aca="false">B13/(F2/(Settings!$B$2*Parts!$F$6))</f>
        <v>6</v>
      </c>
      <c r="E13" s="15" t="n">
        <f aca="false">B13/(F2/(Settings!$B$2*Parts!$F$7))</f>
        <v>16</v>
      </c>
    </row>
    <row r="14" customFormat="false" ht="15" hidden="false" customHeight="false" outlineLevel="0" collapsed="false">
      <c r="A14" s="2" t="s">
        <v>162</v>
      </c>
      <c r="B14" s="5" t="n">
        <f aca="false">D4</f>
        <v>3</v>
      </c>
      <c r="C14" s="15" t="n">
        <f aca="false">B14/(F4/(Settings!$B$2*Parts!$F$5))</f>
        <v>2.4</v>
      </c>
      <c r="D14" s="15" t="n">
        <f aca="false">B14/(F4/(Settings!$B$2*Parts!$F$6))</f>
        <v>7.2</v>
      </c>
      <c r="E14" s="15" t="n">
        <f aca="false">B14/(F4/(Settings!$B$2*Parts!$F$7))</f>
        <v>19.2</v>
      </c>
    </row>
    <row r="15" customFormat="false" ht="15" hidden="false" customHeight="false" outlineLevel="0" collapsed="false">
      <c r="A15" s="2" t="s">
        <v>163</v>
      </c>
      <c r="B15" s="5" t="n">
        <f aca="false">E5</f>
        <v>6</v>
      </c>
      <c r="C15" s="15" t="n">
        <f aca="false">B15/(F5/(Settings!$B$2*Parts!$F$5))</f>
        <v>2.66666666666667</v>
      </c>
      <c r="D15" s="15" t="n">
        <f aca="false">B15/(F5/(Settings!$B$2*Parts!$F$6))</f>
        <v>8</v>
      </c>
      <c r="E15" s="15" t="n">
        <f aca="false">B15/(F5/(Settings!$B$2*Parts!$F$7))</f>
        <v>21.3333333333333</v>
      </c>
    </row>
    <row r="17" customFormat="false" ht="15" hidden="false" customHeight="false" outlineLevel="0" collapsed="false">
      <c r="A17" s="6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9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7" t="s">
        <v>165</v>
      </c>
      <c r="B1" s="7" t="s">
        <v>166</v>
      </c>
    </row>
    <row r="2" customFormat="false" ht="15" hidden="false" customHeight="false" outlineLevel="0" collapsed="false">
      <c r="A2" s="2" t="s">
        <v>167</v>
      </c>
      <c r="B2" s="4" t="n">
        <v>9</v>
      </c>
    </row>
    <row r="3" customFormat="false" ht="15" hidden="false" customHeight="false" outlineLevel="0" collapsed="false">
      <c r="A3" s="2" t="s">
        <v>168</v>
      </c>
      <c r="B3" s="4" t="n">
        <v>24</v>
      </c>
    </row>
    <row r="4" customFormat="false" ht="15" hidden="false" customHeight="false" outlineLevel="0" collapsed="false">
      <c r="A4" s="2" t="s">
        <v>169</v>
      </c>
      <c r="B4" s="4" t="n">
        <v>68</v>
      </c>
    </row>
    <row r="5" customFormat="false" ht="15" hidden="false" customHeight="false" outlineLevel="0" collapsed="false">
      <c r="A5" s="2" t="s">
        <v>170</v>
      </c>
      <c r="B5" s="4" t="n">
        <v>165</v>
      </c>
    </row>
    <row r="7" customFormat="false" ht="26.85" hidden="false" customHeight="false" outlineLevel="0" collapsed="false">
      <c r="A7" s="7" t="s">
        <v>171</v>
      </c>
      <c r="B7" s="7" t="s">
        <v>167</v>
      </c>
      <c r="C7" s="7" t="s">
        <v>168</v>
      </c>
      <c r="D7" s="7" t="s">
        <v>169</v>
      </c>
      <c r="E7" s="7" t="s">
        <v>170</v>
      </c>
      <c r="F7" s="7" t="s">
        <v>172</v>
      </c>
      <c r="G7" s="7" t="s">
        <v>166</v>
      </c>
      <c r="H7" s="7" t="s">
        <v>173</v>
      </c>
      <c r="I7" s="7" t="s">
        <v>174</v>
      </c>
    </row>
    <row r="8" customFormat="false" ht="15" hidden="false" customHeight="false" outlineLevel="0" collapsed="false">
      <c r="A8" s="2" t="s">
        <v>175</v>
      </c>
      <c r="B8" s="4" t="n">
        <v>2</v>
      </c>
      <c r="C8" s="4" t="n">
        <v>0</v>
      </c>
      <c r="D8" s="4" t="n">
        <v>0</v>
      </c>
      <c r="E8" s="4" t="n">
        <v>0</v>
      </c>
      <c r="F8" s="4" t="n">
        <v>2</v>
      </c>
      <c r="G8" s="4" t="n">
        <v>24</v>
      </c>
      <c r="H8" s="13" t="n">
        <f aca="false">B8*$B$2+C8*$B$3+D8*$B$4+E8*$B$5</f>
        <v>18</v>
      </c>
      <c r="I8" s="16" t="n">
        <f aca="false">G8-H8</f>
        <v>6</v>
      </c>
    </row>
    <row r="9" customFormat="false" ht="15" hidden="false" customHeight="false" outlineLevel="0" collapsed="false">
      <c r="A9" s="2" t="s">
        <v>176</v>
      </c>
      <c r="B9" s="4" t="n">
        <v>1</v>
      </c>
      <c r="C9" s="4" t="n">
        <v>2</v>
      </c>
      <c r="D9" s="4" t="n">
        <v>0</v>
      </c>
      <c r="E9" s="4" t="n">
        <v>0</v>
      </c>
      <c r="F9" s="4" t="n">
        <v>3</v>
      </c>
      <c r="G9" s="4" t="n">
        <v>75</v>
      </c>
      <c r="H9" s="13" t="n">
        <f aca="false">B9*$B$2+C9*$B$3+D9*$B$4+E9*$B$5</f>
        <v>57</v>
      </c>
      <c r="I9" s="16" t="n">
        <f aca="false">G9-H9</f>
        <v>18</v>
      </c>
    </row>
    <row r="10" customFormat="false" ht="15" hidden="false" customHeight="false" outlineLevel="0" collapsed="false">
      <c r="A10" s="2" t="s">
        <v>177</v>
      </c>
      <c r="B10" s="4" t="n">
        <v>0</v>
      </c>
      <c r="C10" s="4" t="n">
        <v>1</v>
      </c>
      <c r="D10" s="4" t="n">
        <v>2</v>
      </c>
      <c r="E10" s="4" t="n">
        <v>0</v>
      </c>
      <c r="F10" s="4" t="n">
        <v>4</v>
      </c>
      <c r="G10" s="4" t="n">
        <v>195</v>
      </c>
      <c r="H10" s="13" t="n">
        <f aca="false">B10*$B$2+C10*$B$3+D10*$B$4+E10*$B$5</f>
        <v>160</v>
      </c>
      <c r="I10" s="16" t="n">
        <f aca="false">G10-H10</f>
        <v>35</v>
      </c>
    </row>
    <row r="11" customFormat="false" ht="15" hidden="false" customHeight="false" outlineLevel="0" collapsed="false">
      <c r="A11" s="2" t="s">
        <v>178</v>
      </c>
      <c r="B11" s="4" t="n">
        <v>0</v>
      </c>
      <c r="C11" s="4" t="n">
        <v>0</v>
      </c>
      <c r="D11" s="4" t="n">
        <v>1</v>
      </c>
      <c r="E11" s="4" t="n">
        <v>2</v>
      </c>
      <c r="F11" s="4" t="n">
        <v>6</v>
      </c>
      <c r="G11" s="4" t="n">
        <v>480</v>
      </c>
      <c r="H11" s="13" t="n">
        <f aca="false">B11*$B$2+C11*$B$3+D11*$B$4+E11*$B$5</f>
        <v>398</v>
      </c>
      <c r="I11" s="16" t="n">
        <f aca="false">G11-H11</f>
        <v>82</v>
      </c>
    </row>
    <row r="13" customFormat="false" ht="15" hidden="false" customHeight="false" outlineLevel="0" collapsed="false">
      <c r="A13" s="6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20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5" min="13" style="0" width="7"/>
    <col collapsed="false" customWidth="true" hidden="false" outlineLevel="0" max="16" min="16" style="0" width="26"/>
  </cols>
  <sheetData>
    <row r="1" customFormat="false" ht="39.55" hidden="false" customHeight="false" outlineLevel="0" collapsed="false">
      <c r="A1" s="7" t="s">
        <v>180</v>
      </c>
      <c r="B1" s="7" t="s">
        <v>181</v>
      </c>
      <c r="C1" s="7" t="s">
        <v>182</v>
      </c>
      <c r="D1" s="7" t="s">
        <v>175</v>
      </c>
      <c r="E1" s="7" t="s">
        <v>176</v>
      </c>
      <c r="F1" s="7" t="s">
        <v>177</v>
      </c>
      <c r="G1" s="7" t="s">
        <v>178</v>
      </c>
      <c r="H1" s="7" t="s">
        <v>183</v>
      </c>
      <c r="I1" s="7" t="s">
        <v>184</v>
      </c>
      <c r="J1" s="7" t="s">
        <v>185</v>
      </c>
      <c r="K1" s="7" t="s">
        <v>186</v>
      </c>
      <c r="L1" s="7" t="s">
        <v>187</v>
      </c>
      <c r="M1" s="7" t="s">
        <v>188</v>
      </c>
      <c r="N1" s="7" t="s">
        <v>189</v>
      </c>
      <c r="O1" s="7" t="s">
        <v>190</v>
      </c>
      <c r="P1" s="7" t="s">
        <v>191</v>
      </c>
    </row>
    <row r="2" customFormat="false" ht="15" hidden="false" customHeight="false" outlineLevel="0" collapsed="false">
      <c r="A2" s="2" t="s">
        <v>192</v>
      </c>
      <c r="B2" s="2" t="s">
        <v>193</v>
      </c>
      <c r="C2" s="4" t="n">
        <v>1</v>
      </c>
      <c r="D2" s="4" t="n">
        <v>2</v>
      </c>
      <c r="E2" s="4" t="n">
        <v>0</v>
      </c>
      <c r="F2" s="4" t="n">
        <v>0</v>
      </c>
      <c r="G2" s="4" t="n">
        <v>0</v>
      </c>
      <c r="H2" s="11" t="n">
        <v>40</v>
      </c>
      <c r="I2" s="13" t="n">
        <f aca="false">H2+D2*Materials!$G$8+E2*Materials!$G$9+F2*Materials!$G$10+G2*Materials!$G$11</f>
        <v>88</v>
      </c>
      <c r="J2" s="12" t="n">
        <f aca="false">C2*Settings!$B$21</f>
        <v>25</v>
      </c>
      <c r="K2" s="12" t="n">
        <f aca="false">C2*Settings!$B$22</f>
        <v>75</v>
      </c>
      <c r="L2" s="17" t="n">
        <f aca="false">(J2+K2)/Settings!$B$19</f>
        <v>10</v>
      </c>
      <c r="M2" s="8" t="n">
        <v>0.1</v>
      </c>
      <c r="N2" s="8" t="n">
        <v>0.15</v>
      </c>
      <c r="O2" s="8" t="n">
        <v>0.2</v>
      </c>
      <c r="P2" s="2" t="s">
        <v>194</v>
      </c>
    </row>
    <row r="3" customFormat="false" ht="15" hidden="false" customHeight="false" outlineLevel="0" collapsed="false">
      <c r="A3" s="2" t="s">
        <v>195</v>
      </c>
      <c r="B3" s="2" t="s">
        <v>193</v>
      </c>
      <c r="C3" s="4" t="n">
        <v>1</v>
      </c>
      <c r="D3" s="4" t="n">
        <v>3</v>
      </c>
      <c r="E3" s="4" t="n">
        <v>0</v>
      </c>
      <c r="F3" s="4" t="n">
        <v>0</v>
      </c>
      <c r="G3" s="4" t="n">
        <v>0</v>
      </c>
      <c r="H3" s="11" t="n">
        <v>60</v>
      </c>
      <c r="I3" s="13" t="n">
        <f aca="false">H3+D3*Materials!$G$8+E3*Materials!$G$9+F3*Materials!$G$10+G3*Materials!$G$11</f>
        <v>132</v>
      </c>
      <c r="J3" s="12" t="n">
        <f aca="false">C3*Settings!$B$21</f>
        <v>25</v>
      </c>
      <c r="K3" s="12" t="n">
        <f aca="false">C3*Settings!$B$22</f>
        <v>75</v>
      </c>
      <c r="L3" s="17" t="n">
        <f aca="false">(J3+K3)/Settings!$B$19</f>
        <v>10</v>
      </c>
      <c r="M3" s="8" t="n">
        <v>0.15</v>
      </c>
      <c r="N3" s="8" t="n">
        <v>0.22</v>
      </c>
      <c r="O3" s="8" t="n">
        <v>0.3</v>
      </c>
      <c r="P3" s="2" t="s">
        <v>194</v>
      </c>
    </row>
    <row r="4" customFormat="false" ht="15" hidden="false" customHeight="false" outlineLevel="0" collapsed="false">
      <c r="A4" s="2" t="s">
        <v>196</v>
      </c>
      <c r="B4" s="2" t="s">
        <v>193</v>
      </c>
      <c r="C4" s="4" t="n">
        <v>1</v>
      </c>
      <c r="D4" s="4" t="n">
        <v>2</v>
      </c>
      <c r="E4" s="4" t="n">
        <v>1</v>
      </c>
      <c r="F4" s="4" t="n">
        <v>0</v>
      </c>
      <c r="G4" s="4" t="n">
        <v>0</v>
      </c>
      <c r="H4" s="11" t="n">
        <v>80</v>
      </c>
      <c r="I4" s="13" t="n">
        <f aca="false">H4+D4*Materials!$G$8+E4*Materials!$G$9+F4*Materials!$G$10+G4*Materials!$G$11</f>
        <v>203</v>
      </c>
      <c r="J4" s="12" t="n">
        <f aca="false">C4*Settings!$B$21</f>
        <v>25</v>
      </c>
      <c r="K4" s="12" t="n">
        <f aca="false">C4*Settings!$B$22</f>
        <v>75</v>
      </c>
      <c r="L4" s="17" t="n">
        <f aca="false">(J4+K4)/Settings!$B$19</f>
        <v>10</v>
      </c>
      <c r="M4" s="8" t="n">
        <v>0.1</v>
      </c>
      <c r="N4" s="8" t="n">
        <v>0.2</v>
      </c>
      <c r="O4" s="8" t="n">
        <v>0.3</v>
      </c>
      <c r="P4" s="2" t="s">
        <v>194</v>
      </c>
    </row>
    <row r="5" customFormat="false" ht="15" hidden="false" customHeight="false" outlineLevel="0" collapsed="false">
      <c r="A5" s="2" t="s">
        <v>197</v>
      </c>
      <c r="B5" s="2" t="s">
        <v>193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1</v>
      </c>
      <c r="H5" s="11" t="n">
        <v>150</v>
      </c>
      <c r="I5" s="13" t="n">
        <f aca="false">H5+D5*Materials!$G$8+E5*Materials!$G$9+F5*Materials!$G$10+G5*Materials!$G$11</f>
        <v>630</v>
      </c>
      <c r="J5" s="12" t="n">
        <f aca="false">C5*Settings!$B$21</f>
        <v>25</v>
      </c>
      <c r="K5" s="12" t="n">
        <f aca="false">C5*Settings!$B$22</f>
        <v>75</v>
      </c>
      <c r="L5" s="17" t="n">
        <f aca="false">(J5+K5)/Settings!$B$19</f>
        <v>10</v>
      </c>
      <c r="M5" s="4" t="n">
        <v>1</v>
      </c>
      <c r="N5" s="4" t="n">
        <v>1.5</v>
      </c>
      <c r="O5" s="4" t="n">
        <v>2</v>
      </c>
      <c r="P5" s="2" t="s">
        <v>194</v>
      </c>
    </row>
    <row r="6" customFormat="false" ht="15" hidden="false" customHeight="false" outlineLevel="0" collapsed="false">
      <c r="A6" s="2" t="s">
        <v>198</v>
      </c>
      <c r="B6" s="2" t="s">
        <v>199</v>
      </c>
      <c r="C6" s="4" t="n">
        <v>2</v>
      </c>
      <c r="D6" s="4" t="n">
        <v>0</v>
      </c>
      <c r="E6" s="4" t="n">
        <v>2</v>
      </c>
      <c r="F6" s="4" t="n">
        <v>0</v>
      </c>
      <c r="G6" s="4" t="n">
        <v>0</v>
      </c>
      <c r="H6" s="11" t="n">
        <v>150</v>
      </c>
      <c r="I6" s="13" t="n">
        <f aca="false">H6+D6*Materials!$G$8+E6*Materials!$G$9+F6*Materials!$G$10+G6*Materials!$G$11</f>
        <v>300</v>
      </c>
      <c r="J6" s="12" t="n">
        <f aca="false">C6*Settings!$B$21</f>
        <v>50</v>
      </c>
      <c r="K6" s="12" t="n">
        <f aca="false">C6*Settings!$B$22</f>
        <v>150</v>
      </c>
      <c r="L6" s="17" t="n">
        <f aca="false">(J6+K6)/Settings!$B$19</f>
        <v>20</v>
      </c>
      <c r="M6" s="8" t="n">
        <v>0.3</v>
      </c>
      <c r="N6" s="8" t="n">
        <v>0.45</v>
      </c>
      <c r="O6" s="8" t="n">
        <v>0.6</v>
      </c>
      <c r="P6" s="2" t="s">
        <v>200</v>
      </c>
    </row>
    <row r="7" customFormat="false" ht="15" hidden="false" customHeight="false" outlineLevel="0" collapsed="false">
      <c r="A7" s="2" t="s">
        <v>201</v>
      </c>
      <c r="B7" s="2" t="s">
        <v>199</v>
      </c>
      <c r="C7" s="4" t="n">
        <v>2</v>
      </c>
      <c r="D7" s="4" t="n">
        <v>0</v>
      </c>
      <c r="E7" s="4" t="n">
        <v>3</v>
      </c>
      <c r="F7" s="4" t="n">
        <v>0</v>
      </c>
      <c r="G7" s="4" t="n">
        <v>0</v>
      </c>
      <c r="H7" s="11" t="n">
        <v>200</v>
      </c>
      <c r="I7" s="13" t="n">
        <f aca="false">H7+D7*Materials!$G$8+E7*Materials!$G$9+F7*Materials!$G$10+G7*Materials!$G$11</f>
        <v>425</v>
      </c>
      <c r="J7" s="12" t="n">
        <f aca="false">C7*Settings!$B$21</f>
        <v>50</v>
      </c>
      <c r="K7" s="12" t="n">
        <f aca="false">C7*Settings!$B$22</f>
        <v>150</v>
      </c>
      <c r="L7" s="17" t="n">
        <f aca="false">(J7+K7)/Settings!$B$19</f>
        <v>20</v>
      </c>
      <c r="M7" s="8" t="n">
        <v>0.15</v>
      </c>
      <c r="N7" s="8" t="n">
        <v>0.22</v>
      </c>
      <c r="O7" s="8" t="n">
        <v>0.3</v>
      </c>
      <c r="P7" s="2" t="s">
        <v>200</v>
      </c>
    </row>
    <row r="8" customFormat="false" ht="15" hidden="false" customHeight="false" outlineLevel="0" collapsed="false">
      <c r="A8" s="2" t="s">
        <v>202</v>
      </c>
      <c r="B8" s="2" t="s">
        <v>203</v>
      </c>
      <c r="C8" s="4" t="n">
        <v>2</v>
      </c>
      <c r="D8" s="4" t="n">
        <v>0</v>
      </c>
      <c r="E8" s="4" t="n">
        <v>0</v>
      </c>
      <c r="F8" s="4" t="n">
        <v>2</v>
      </c>
      <c r="G8" s="4" t="n">
        <v>0</v>
      </c>
      <c r="H8" s="11" t="n">
        <v>250</v>
      </c>
      <c r="I8" s="13" t="n">
        <f aca="false">H8+D8*Materials!$G$8+E8*Materials!$G$9+F8*Materials!$G$10+G8*Materials!$G$11</f>
        <v>640</v>
      </c>
      <c r="J8" s="12" t="n">
        <f aca="false">C8*Settings!$B$21</f>
        <v>50</v>
      </c>
      <c r="K8" s="12" t="n">
        <f aca="false">C8*Settings!$B$22</f>
        <v>150</v>
      </c>
      <c r="L8" s="17" t="n">
        <f aca="false">(J8+K8)/Settings!$B$19</f>
        <v>20</v>
      </c>
      <c r="M8" s="8" t="n">
        <v>0.2</v>
      </c>
      <c r="N8" s="8" t="n">
        <v>0.3</v>
      </c>
      <c r="O8" s="8" t="n">
        <v>0.4</v>
      </c>
      <c r="P8" s="2" t="s">
        <v>204</v>
      </c>
    </row>
    <row r="9" customFormat="false" ht="15" hidden="false" customHeight="false" outlineLevel="0" collapsed="false">
      <c r="A9" s="2" t="s">
        <v>205</v>
      </c>
      <c r="B9" s="2" t="s">
        <v>206</v>
      </c>
      <c r="C9" s="4" t="n">
        <v>3</v>
      </c>
      <c r="D9" s="4" t="n">
        <v>0</v>
      </c>
      <c r="E9" s="4" t="n">
        <v>0</v>
      </c>
      <c r="F9" s="4" t="n">
        <v>2</v>
      </c>
      <c r="G9" s="4" t="n">
        <v>1</v>
      </c>
      <c r="H9" s="11" t="n">
        <v>400</v>
      </c>
      <c r="I9" s="13" t="n">
        <f aca="false">H9+D9*Materials!$G$8+E9*Materials!$G$9+F9*Materials!$G$10+G9*Materials!$G$11</f>
        <v>1270</v>
      </c>
      <c r="J9" s="12" t="n">
        <f aca="false">C9*Settings!$B$21</f>
        <v>75</v>
      </c>
      <c r="K9" s="12" t="n">
        <f aca="false">C9*Settings!$B$22</f>
        <v>225</v>
      </c>
      <c r="L9" s="17" t="n">
        <f aca="false">(J9+K9)/Settings!$B$19</f>
        <v>30</v>
      </c>
      <c r="M9" s="4" t="n">
        <v>3</v>
      </c>
      <c r="N9" s="4" t="n">
        <v>4</v>
      </c>
      <c r="O9" s="4" t="n">
        <v>5</v>
      </c>
      <c r="P9" s="2" t="s">
        <v>204</v>
      </c>
    </row>
    <row r="10" customFormat="false" ht="15" hidden="false" customHeight="false" outlineLevel="0" collapsed="false">
      <c r="A10" s="2" t="s">
        <v>207</v>
      </c>
      <c r="B10" s="2" t="s">
        <v>208</v>
      </c>
      <c r="C10" s="4" t="n">
        <v>4</v>
      </c>
      <c r="D10" s="4" t="n">
        <v>0</v>
      </c>
      <c r="E10" s="4" t="n">
        <v>0</v>
      </c>
      <c r="F10" s="4" t="n">
        <v>2</v>
      </c>
      <c r="G10" s="4" t="n">
        <v>2</v>
      </c>
      <c r="H10" s="11" t="n">
        <v>600</v>
      </c>
      <c r="I10" s="13" t="n">
        <f aca="false">H10+D10*Materials!$G$8+E10*Materials!$G$9+F10*Materials!$G$10+G10*Materials!$G$11</f>
        <v>1950</v>
      </c>
      <c r="J10" s="12" t="n">
        <f aca="false">C10*Settings!$B$21</f>
        <v>100</v>
      </c>
      <c r="K10" s="12" t="n">
        <f aca="false">C10*Settings!$B$22</f>
        <v>300</v>
      </c>
      <c r="L10" s="17" t="n">
        <f aca="false">(J10+K10)/Settings!$B$19</f>
        <v>40</v>
      </c>
      <c r="M10" s="8" t="n">
        <v>0.25</v>
      </c>
      <c r="N10" s="8" t="n">
        <v>0.35</v>
      </c>
      <c r="O10" s="8" t="n">
        <v>0.45</v>
      </c>
      <c r="P10" s="2" t="s">
        <v>204</v>
      </c>
    </row>
    <row r="12" customFormat="false" ht="15" hidden="false" customHeight="false" outlineLevel="0" collapsed="false">
      <c r="A12" s="6" t="s">
        <v>209</v>
      </c>
    </row>
    <row r="13" customFormat="false" ht="15" hidden="false" customHeight="false" outlineLevel="0" collapsed="false">
      <c r="A13" s="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7" t="s">
        <v>144</v>
      </c>
      <c r="B1" s="7" t="s">
        <v>149</v>
      </c>
      <c r="C1" s="7" t="s">
        <v>211</v>
      </c>
      <c r="D1" s="7" t="s">
        <v>212</v>
      </c>
      <c r="E1" s="7" t="s">
        <v>213</v>
      </c>
      <c r="F1" s="7" t="s">
        <v>214</v>
      </c>
    </row>
    <row r="2" customFormat="false" ht="15" hidden="false" customHeight="false" outlineLevel="0" collapsed="false">
      <c r="A2" s="2" t="s">
        <v>150</v>
      </c>
      <c r="B2" s="4" t="n">
        <v>2</v>
      </c>
      <c r="C2" s="4" t="n">
        <v>1</v>
      </c>
      <c r="D2" s="18" t="n">
        <f aca="false">IF($C2&gt;1,"—",$B2/(Settings!$B$2*Parts!$F$5))</f>
        <v>0.5</v>
      </c>
      <c r="E2" s="18" t="n">
        <f aca="false">IF($C2&gt;2,"—",$B2/(Settings!$B$2*Parts!$F$6))</f>
        <v>0.166666666666667</v>
      </c>
      <c r="F2" s="18" t="n">
        <f aca="false">IF($C2&gt;3,"—",$B2/(Settings!$B$2*Parts!$F$7))</f>
        <v>0.0625</v>
      </c>
    </row>
    <row r="3" customFormat="false" ht="15" hidden="false" customHeight="false" outlineLevel="0" collapsed="false">
      <c r="A3" s="2" t="s">
        <v>151</v>
      </c>
      <c r="B3" s="4" t="n">
        <v>4</v>
      </c>
      <c r="C3" s="4" t="n">
        <v>1</v>
      </c>
      <c r="D3" s="18" t="n">
        <f aca="false">IF($C3&gt;1,"—",$B3/(Settings!$B$2*Parts!$F$5))</f>
        <v>1</v>
      </c>
      <c r="E3" s="18" t="n">
        <f aca="false">IF($C3&gt;2,"—",$B3/(Settings!$B$2*Parts!$F$6))</f>
        <v>0.333333333333333</v>
      </c>
      <c r="F3" s="18" t="n">
        <f aca="false">IF($C3&gt;3,"—",$B3/(Settings!$B$2*Parts!$F$7))</f>
        <v>0.125</v>
      </c>
    </row>
    <row r="4" customFormat="false" ht="15" hidden="false" customHeight="false" outlineLevel="0" collapsed="false">
      <c r="A4" s="2" t="s">
        <v>152</v>
      </c>
      <c r="B4" s="4" t="n">
        <v>5</v>
      </c>
      <c r="C4" s="4" t="n">
        <v>1</v>
      </c>
      <c r="D4" s="18" t="n">
        <f aca="false">IF($C4&gt;1,"—",$B4/(Settings!$B$2*Parts!$F$5))</f>
        <v>1.25</v>
      </c>
      <c r="E4" s="18" t="n">
        <f aca="false">IF($C4&gt;2,"—",$B4/(Settings!$B$2*Parts!$F$6))</f>
        <v>0.416666666666667</v>
      </c>
      <c r="F4" s="18" t="n">
        <f aca="false">IF($C4&gt;3,"—",$B4/(Settings!$B$2*Parts!$F$7))</f>
        <v>0.15625</v>
      </c>
    </row>
    <row r="5" customFormat="false" ht="15" hidden="false" customHeight="false" outlineLevel="0" collapsed="false">
      <c r="A5" s="2" t="s">
        <v>153</v>
      </c>
      <c r="B5" s="4" t="n">
        <v>9</v>
      </c>
      <c r="C5" s="4" t="n">
        <v>1</v>
      </c>
      <c r="D5" s="18" t="n">
        <f aca="false">IF($C5&gt;1,"—",$B5/(Settings!$B$2*Parts!$F$5))</f>
        <v>2.25</v>
      </c>
      <c r="E5" s="18" t="n">
        <f aca="false">IF($C5&gt;2,"—",$B5/(Settings!$B$2*Parts!$F$6))</f>
        <v>0.75</v>
      </c>
      <c r="F5" s="18" t="n">
        <f aca="false">IF($C5&gt;3,"—",$B5/(Settings!$B$2*Parts!$F$7))</f>
        <v>0.28125</v>
      </c>
    </row>
    <row r="6" customFormat="false" ht="15" hidden="false" customHeight="false" outlineLevel="0" collapsed="false">
      <c r="A6" s="2" t="s">
        <v>156</v>
      </c>
      <c r="B6" s="4" t="n">
        <v>3</v>
      </c>
      <c r="C6" s="4" t="n">
        <v>1</v>
      </c>
      <c r="D6" s="18" t="n">
        <f aca="false">IF($C6&gt;1,"—",$B6/(Settings!$B$2*Parts!$F$5))</f>
        <v>0.75</v>
      </c>
      <c r="E6" s="18" t="n">
        <f aca="false">IF($C6&gt;2,"—",$B6/(Settings!$B$2*Parts!$F$6))</f>
        <v>0.25</v>
      </c>
      <c r="F6" s="18" t="n">
        <f aca="false">IF($C6&gt;3,"—",$B6/(Settings!$B$2*Parts!$F$7))</f>
        <v>0.09375</v>
      </c>
    </row>
    <row r="7" customFormat="false" ht="15" hidden="false" customHeight="false" outlineLevel="0" collapsed="false">
      <c r="A7" s="2" t="s">
        <v>215</v>
      </c>
      <c r="B7" s="4" t="n">
        <v>1</v>
      </c>
      <c r="C7" s="4" t="n">
        <v>1</v>
      </c>
      <c r="D7" s="18" t="n">
        <f aca="false">IF($C7&gt;1,"—",$B7/(Settings!$B$2*Parts!$F$5))</f>
        <v>0.25</v>
      </c>
      <c r="E7" s="18" t="n">
        <f aca="false">IF($C7&gt;2,"—",$B7/(Settings!$B$2*Parts!$F$6))</f>
        <v>0.0833333333333333</v>
      </c>
      <c r="F7" s="18" t="n">
        <f aca="false">IF($C7&gt;3,"—",$B7/(Settings!$B$2*Parts!$F$7))</f>
        <v>0.03125</v>
      </c>
    </row>
    <row r="8" customFormat="false" ht="15" hidden="false" customHeight="false" outlineLevel="0" collapsed="false">
      <c r="A8" s="2" t="s">
        <v>167</v>
      </c>
      <c r="B8" s="4" t="n">
        <v>3</v>
      </c>
      <c r="C8" s="4" t="n">
        <v>1</v>
      </c>
      <c r="D8" s="18" t="n">
        <f aca="false">IF($C8&gt;1,"—",$B8/(Settings!$B$2*Parts!$F$5))</f>
        <v>0.75</v>
      </c>
      <c r="E8" s="18" t="n">
        <f aca="false">IF($C8&gt;2,"—",$B8/(Settings!$B$2*Parts!$F$6))</f>
        <v>0.25</v>
      </c>
      <c r="F8" s="18" t="n">
        <f aca="false">IF($C8&gt;3,"—",$B8/(Settings!$B$2*Parts!$F$7))</f>
        <v>0.09375</v>
      </c>
    </row>
    <row r="9" customFormat="false" ht="15" hidden="false" customHeight="false" outlineLevel="0" collapsed="false">
      <c r="A9" s="2" t="s">
        <v>168</v>
      </c>
      <c r="B9" s="4" t="n">
        <v>5</v>
      </c>
      <c r="C9" s="4" t="n">
        <v>1</v>
      </c>
      <c r="D9" s="18" t="n">
        <f aca="false">IF($C9&gt;1,"—",$B9/(Settings!$B$2*Parts!$F$5))</f>
        <v>1.25</v>
      </c>
      <c r="E9" s="18" t="n">
        <f aca="false">IF($C9&gt;2,"—",$B9/(Settings!$B$2*Parts!$F$6))</f>
        <v>0.416666666666667</v>
      </c>
      <c r="F9" s="18" t="n">
        <f aca="false">IF($C9&gt;3,"—",$B9/(Settings!$B$2*Parts!$F$7))</f>
        <v>0.15625</v>
      </c>
    </row>
    <row r="10" customFormat="false" ht="15" hidden="false" customHeight="false" outlineLevel="0" collapsed="false">
      <c r="A10" s="2" t="s">
        <v>169</v>
      </c>
      <c r="B10" s="4" t="n">
        <v>8</v>
      </c>
      <c r="C10" s="4" t="n">
        <v>1</v>
      </c>
      <c r="D10" s="18" t="n">
        <f aca="false">IF($C10&gt;1,"—",$B10/(Settings!$B$2*Parts!$F$5))</f>
        <v>2</v>
      </c>
      <c r="E10" s="18" t="n">
        <f aca="false">IF($C10&gt;2,"—",$B10/(Settings!$B$2*Parts!$F$6))</f>
        <v>0.666666666666667</v>
      </c>
      <c r="F10" s="18" t="n">
        <f aca="false">IF($C10&gt;3,"—",$B10/(Settings!$B$2*Parts!$F$7))</f>
        <v>0.25</v>
      </c>
    </row>
    <row r="11" customFormat="false" ht="15" hidden="false" customHeight="false" outlineLevel="0" collapsed="false">
      <c r="A11" s="2" t="s">
        <v>170</v>
      </c>
      <c r="B11" s="4" t="n">
        <v>11</v>
      </c>
      <c r="C11" s="4" t="n">
        <v>1</v>
      </c>
      <c r="D11" s="18" t="n">
        <f aca="false">IF($C11&gt;1,"—",$B11/(Settings!$B$2*Parts!$F$5))</f>
        <v>2.75</v>
      </c>
      <c r="E11" s="18" t="n">
        <f aca="false">IF($C11&gt;2,"—",$B11/(Settings!$B$2*Parts!$F$6))</f>
        <v>0.916666666666667</v>
      </c>
      <c r="F11" s="18" t="n">
        <f aca="false">IF($C11&gt;3,"—",$B11/(Settings!$B$2*Parts!$F$7))</f>
        <v>0.34375</v>
      </c>
    </row>
    <row r="12" customFormat="false" ht="15" hidden="false" customHeight="false" outlineLevel="0" collapsed="false">
      <c r="A12" s="2" t="s">
        <v>216</v>
      </c>
      <c r="B12" s="4" t="n">
        <v>4</v>
      </c>
      <c r="C12" s="4" t="n">
        <v>1</v>
      </c>
      <c r="D12" s="18" t="n">
        <f aca="false">IF($C12&gt;1,"—",$B12/(Settings!$B$2*Parts!$F$5))</f>
        <v>1</v>
      </c>
      <c r="E12" s="18" t="n">
        <f aca="false">IF($C12&gt;2,"—",$B12/(Settings!$B$2*Parts!$F$6))</f>
        <v>0.333333333333333</v>
      </c>
      <c r="F12" s="18" t="n">
        <f aca="false">IF($C12&gt;3,"—",$B12/(Settings!$B$2*Parts!$F$7))</f>
        <v>0.125</v>
      </c>
    </row>
    <row r="13" customFormat="false" ht="15" hidden="false" customHeight="false" outlineLevel="0" collapsed="false">
      <c r="A13" s="2" t="s">
        <v>154</v>
      </c>
      <c r="B13" s="4" t="n">
        <v>10</v>
      </c>
      <c r="C13" s="4" t="n">
        <v>2</v>
      </c>
      <c r="D13" s="18" t="str">
        <f aca="false">IF($C13&gt;1,"—",$B13/(Settings!$B$2*Parts!$F$5))</f>
        <v>—</v>
      </c>
      <c r="E13" s="18" t="n">
        <f aca="false">IF($C13&gt;2,"—",$B13/(Settings!$B$2*Parts!$F$6))</f>
        <v>0.833333333333333</v>
      </c>
      <c r="F13" s="18" t="n">
        <f aca="false">IF($C13&gt;3,"—",$B13/(Settings!$B$2*Parts!$F$7))</f>
        <v>0.3125</v>
      </c>
    </row>
    <row r="14" customFormat="false" ht="15" hidden="false" customHeight="false" outlineLevel="0" collapsed="false">
      <c r="A14" s="2" t="s">
        <v>155</v>
      </c>
      <c r="B14" s="4" t="n">
        <v>16</v>
      </c>
      <c r="C14" s="4" t="n">
        <v>3</v>
      </c>
      <c r="D14" s="18" t="str">
        <f aca="false">IF($C14&gt;1,"—",$B14/(Settings!$B$2*Parts!$F$5))</f>
        <v>—</v>
      </c>
      <c r="E14" s="18" t="str">
        <f aca="false">IF($C14&gt;2,"—",$B14/(Settings!$B$2*Parts!$F$6))</f>
        <v>—</v>
      </c>
      <c r="F14" s="18" t="n">
        <f aca="false">IF($C14&gt;3,"—",$B14/(Settings!$B$2*Parts!$F$7))</f>
        <v>0.5</v>
      </c>
    </row>
    <row r="15" customFormat="false" ht="15" hidden="false" customHeight="false" outlineLevel="0" collapsed="false">
      <c r="A15" s="2" t="s">
        <v>79</v>
      </c>
      <c r="B15" s="4" t="n">
        <v>40</v>
      </c>
      <c r="C15" s="4" t="n">
        <v>1</v>
      </c>
      <c r="D15" s="18" t="n">
        <f aca="false">IF($C15&gt;1,"—",$B15/(Settings!$B$2*Parts!$F$5))</f>
        <v>10</v>
      </c>
      <c r="E15" s="18" t="n">
        <f aca="false">IF($C15&gt;2,"—",$B15/(Settings!$B$2*Parts!$F$6))</f>
        <v>3.33333333333333</v>
      </c>
      <c r="F15" s="18" t="n">
        <f aca="false">IF($C15&gt;3,"—",$B15/(Settings!$B$2*Parts!$F$7))</f>
        <v>1.25</v>
      </c>
    </row>
    <row r="17" customFormat="false" ht="15" hidden="false" customHeight="false" outlineLevel="0" collapsed="false">
      <c r="A17" s="6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6.85" hidden="false" customHeight="false" outlineLevel="0" collapsed="false">
      <c r="A1" s="7" t="s">
        <v>131</v>
      </c>
      <c r="B1" s="7" t="s">
        <v>133</v>
      </c>
      <c r="C1" s="7" t="s">
        <v>137</v>
      </c>
      <c r="D1" s="7" t="s">
        <v>140</v>
      </c>
      <c r="E1" s="7" t="s">
        <v>218</v>
      </c>
      <c r="F1" s="7" t="s">
        <v>219</v>
      </c>
      <c r="G1" s="7" t="s">
        <v>220</v>
      </c>
    </row>
    <row r="2" customFormat="false" ht="15" hidden="false" customHeight="false" outlineLevel="0" collapsed="false">
      <c r="A2" s="2" t="s">
        <v>132</v>
      </c>
      <c r="B2" s="5" t="n">
        <f aca="false">Parts!$F$8</f>
        <v>80</v>
      </c>
      <c r="C2" s="2" t="s">
        <v>138</v>
      </c>
      <c r="D2" s="19" t="n">
        <f aca="false">Parts!$H$11</f>
        <v>1</v>
      </c>
      <c r="E2" s="17" t="n">
        <f aca="false">B2/(Settings!$B$3*D2)</f>
        <v>160</v>
      </c>
      <c r="F2" s="17" t="n">
        <f aca="false">B2/(Settings!$B$3*D2+Settings!$B$4)</f>
        <v>47.0588235294118</v>
      </c>
      <c r="G2" s="17" t="n">
        <f aca="false">B2/(2*Settings!$B$3*D2+Settings!$B$4)</f>
        <v>36.3636363636364</v>
      </c>
    </row>
    <row r="3" customFormat="false" ht="15" hidden="false" customHeight="false" outlineLevel="0" collapsed="false">
      <c r="A3" s="2" t="s">
        <v>132</v>
      </c>
      <c r="B3" s="5" t="n">
        <f aca="false">Parts!$F$8</f>
        <v>80</v>
      </c>
      <c r="C3" s="2" t="s">
        <v>141</v>
      </c>
      <c r="D3" s="19" t="n">
        <f aca="false">Parts!$H$12</f>
        <v>0.8</v>
      </c>
      <c r="E3" s="17" t="n">
        <f aca="false">B3/(Settings!$B$3*D3)</f>
        <v>200</v>
      </c>
      <c r="F3" s="17" t="n">
        <f aca="false">B3/(Settings!$B$3*D3+Settings!$B$4)</f>
        <v>50</v>
      </c>
      <c r="G3" s="17" t="n">
        <f aca="false">B3/(2*Settings!$B$3*D3+Settings!$B$4)</f>
        <v>40</v>
      </c>
    </row>
    <row r="4" customFormat="false" ht="15" hidden="false" customHeight="false" outlineLevel="0" collapsed="false">
      <c r="A4" s="2" t="s">
        <v>132</v>
      </c>
      <c r="B4" s="5" t="n">
        <f aca="false">Parts!$F$8</f>
        <v>80</v>
      </c>
      <c r="C4" s="2" t="s">
        <v>142</v>
      </c>
      <c r="D4" s="19" t="n">
        <f aca="false">Parts!$H$13</f>
        <v>0.55</v>
      </c>
      <c r="E4" s="17" t="n">
        <f aca="false">B4/(Settings!$B$3*D4)</f>
        <v>290.909090909091</v>
      </c>
      <c r="F4" s="17" t="n">
        <f aca="false">B4/(Settings!$B$3*D4+Settings!$B$4)</f>
        <v>54.2372881355932</v>
      </c>
      <c r="G4" s="17" t="n">
        <f aca="false">B4/(2*Settings!$B$3*D4+Settings!$B$4)</f>
        <v>45.7142857142857</v>
      </c>
    </row>
    <row r="5" customFormat="false" ht="15" hidden="false" customHeight="false" outlineLevel="0" collapsed="false">
      <c r="A5" s="2" t="s">
        <v>135</v>
      </c>
      <c r="B5" s="5" t="n">
        <f aca="false">Parts!$F$9</f>
        <v>140</v>
      </c>
      <c r="C5" s="2" t="s">
        <v>138</v>
      </c>
      <c r="D5" s="19" t="n">
        <f aca="false">Parts!$H$11</f>
        <v>1</v>
      </c>
      <c r="E5" s="17" t="n">
        <f aca="false">B5/(Settings!$B$3*D5)</f>
        <v>280</v>
      </c>
      <c r="F5" s="17" t="n">
        <f aca="false">B5/(Settings!$B$3*D5+Settings!$B$4)</f>
        <v>82.3529411764706</v>
      </c>
      <c r="G5" s="17" t="n">
        <f aca="false">B5/(2*Settings!$B$3*D5+Settings!$B$4)</f>
        <v>63.6363636363636</v>
      </c>
    </row>
    <row r="6" customFormat="false" ht="15" hidden="false" customHeight="false" outlineLevel="0" collapsed="false">
      <c r="A6" s="2" t="s">
        <v>135</v>
      </c>
      <c r="B6" s="5" t="n">
        <f aca="false">Parts!$F$9</f>
        <v>140</v>
      </c>
      <c r="C6" s="2" t="s">
        <v>141</v>
      </c>
      <c r="D6" s="19" t="n">
        <f aca="false">Parts!$H$12</f>
        <v>0.8</v>
      </c>
      <c r="E6" s="17" t="n">
        <f aca="false">B6/(Settings!$B$3*D6)</f>
        <v>350</v>
      </c>
      <c r="F6" s="17" t="n">
        <f aca="false">B6/(Settings!$B$3*D6+Settings!$B$4)</f>
        <v>87.5</v>
      </c>
      <c r="G6" s="17" t="n">
        <f aca="false">B6/(2*Settings!$B$3*D6+Settings!$B$4)</f>
        <v>70</v>
      </c>
    </row>
    <row r="7" customFormat="false" ht="15" hidden="false" customHeight="false" outlineLevel="0" collapsed="false">
      <c r="A7" s="2" t="s">
        <v>135</v>
      </c>
      <c r="B7" s="5" t="n">
        <f aca="false">Parts!$F$9</f>
        <v>140</v>
      </c>
      <c r="C7" s="2" t="s">
        <v>142</v>
      </c>
      <c r="D7" s="19" t="n">
        <f aca="false">Parts!$H$13</f>
        <v>0.55</v>
      </c>
      <c r="E7" s="17" t="n">
        <f aca="false">B7/(Settings!$B$3*D7)</f>
        <v>509.090909090909</v>
      </c>
      <c r="F7" s="17" t="n">
        <f aca="false">B7/(Settings!$B$3*D7+Settings!$B$4)</f>
        <v>94.9152542372881</v>
      </c>
      <c r="G7" s="17" t="n">
        <f aca="false">B7/(2*Settings!$B$3*D7+Settings!$B$4)</f>
        <v>80</v>
      </c>
    </row>
    <row r="8" customFormat="false" ht="15" hidden="false" customHeight="false" outlineLevel="0" collapsed="false">
      <c r="A8" s="2" t="s">
        <v>136</v>
      </c>
      <c r="B8" s="5" t="n">
        <f aca="false">Parts!$F$10</f>
        <v>240</v>
      </c>
      <c r="C8" s="2" t="s">
        <v>138</v>
      </c>
      <c r="D8" s="19" t="n">
        <f aca="false">Parts!$H$11</f>
        <v>1</v>
      </c>
      <c r="E8" s="17" t="n">
        <f aca="false">B8/(Settings!$B$3*D8)</f>
        <v>480</v>
      </c>
      <c r="F8" s="17" t="n">
        <f aca="false">B8/(Settings!$B$3*D8+Settings!$B$4)</f>
        <v>141.176470588235</v>
      </c>
      <c r="G8" s="17" t="n">
        <f aca="false">B8/(2*Settings!$B$3*D8+Settings!$B$4)</f>
        <v>109.090909090909</v>
      </c>
    </row>
    <row r="9" customFormat="false" ht="15" hidden="false" customHeight="false" outlineLevel="0" collapsed="false">
      <c r="A9" s="2" t="s">
        <v>136</v>
      </c>
      <c r="B9" s="5" t="n">
        <f aca="false">Parts!$F$10</f>
        <v>240</v>
      </c>
      <c r="C9" s="2" t="s">
        <v>141</v>
      </c>
      <c r="D9" s="19" t="n">
        <f aca="false">Parts!$H$12</f>
        <v>0.8</v>
      </c>
      <c r="E9" s="17" t="n">
        <f aca="false">B9/(Settings!$B$3*D9)</f>
        <v>600</v>
      </c>
      <c r="F9" s="17" t="n">
        <f aca="false">B9/(Settings!$B$3*D9+Settings!$B$4)</f>
        <v>150</v>
      </c>
      <c r="G9" s="17" t="n">
        <f aca="false">B9/(2*Settings!$B$3*D9+Settings!$B$4)</f>
        <v>120</v>
      </c>
    </row>
    <row r="10" customFormat="false" ht="15" hidden="false" customHeight="false" outlineLevel="0" collapsed="false">
      <c r="A10" s="2" t="s">
        <v>136</v>
      </c>
      <c r="B10" s="5" t="n">
        <f aca="false">Parts!$F$10</f>
        <v>240</v>
      </c>
      <c r="C10" s="2" t="s">
        <v>142</v>
      </c>
      <c r="D10" s="19" t="n">
        <f aca="false">Parts!$H$13</f>
        <v>0.55</v>
      </c>
      <c r="E10" s="17" t="n">
        <f aca="false">B10/(Settings!$B$3*D10)</f>
        <v>872.727272727273</v>
      </c>
      <c r="F10" s="17" t="n">
        <f aca="false">B10/(Settings!$B$3*D10+Settings!$B$4)</f>
        <v>162.71186440678</v>
      </c>
      <c r="G10" s="17" t="n">
        <f aca="false">B10/(2*Settings!$B$3*D10+Settings!$B$4)</f>
        <v>137.142857142857</v>
      </c>
    </row>
    <row r="12" customFormat="false" ht="15" hidden="false" customHeight="false" outlineLevel="0" collapsed="false">
      <c r="A12" s="6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36"/>
  </cols>
  <sheetData>
    <row r="1" customFormat="false" ht="26.85" hidden="false" customHeight="false" outlineLevel="0" collapsed="false">
      <c r="A1" s="7" t="s">
        <v>222</v>
      </c>
      <c r="B1" s="7" t="s">
        <v>223</v>
      </c>
      <c r="C1" s="7" t="s">
        <v>224</v>
      </c>
      <c r="D1" s="7" t="s">
        <v>225</v>
      </c>
      <c r="E1" s="7" t="s">
        <v>226</v>
      </c>
    </row>
    <row r="2" customFormat="false" ht="15" hidden="false" customHeight="false" outlineLevel="0" collapsed="false">
      <c r="A2" s="2" t="s">
        <v>227</v>
      </c>
      <c r="B2" s="12" t="n">
        <f aca="false">Parts!D6</f>
        <v>60</v>
      </c>
      <c r="D2" s="20" t="n">
        <f aca="false">SUM($C$2:C2)-SUM($B$2:B2)</f>
        <v>-60</v>
      </c>
      <c r="E2" s="6" t="s">
        <v>228</v>
      </c>
    </row>
    <row r="3" customFormat="false" ht="15" hidden="false" customHeight="false" outlineLevel="0" collapsed="false">
      <c r="A3" s="2" t="s">
        <v>229</v>
      </c>
      <c r="B3" s="12" t="n">
        <f aca="false">Caves!O2</f>
        <v>80</v>
      </c>
      <c r="D3" s="20" t="n">
        <f aca="false">SUM($C$2:C3)-SUM($B$2:B3)</f>
        <v>-140</v>
      </c>
      <c r="E3" s="6" t="s">
        <v>230</v>
      </c>
    </row>
    <row r="4" customFormat="false" ht="15" hidden="false" customHeight="false" outlineLevel="0" collapsed="false">
      <c r="A4" s="2" t="s">
        <v>231</v>
      </c>
      <c r="C4" s="12" t="n">
        <f aca="false">Caves!N2</f>
        <v>300</v>
      </c>
      <c r="D4" s="20" t="n">
        <f aca="false">SUM($C$2:C4)-SUM($B$2:B4)</f>
        <v>160</v>
      </c>
      <c r="E4" s="6" t="s">
        <v>232</v>
      </c>
    </row>
    <row r="5" customFormat="false" ht="15" hidden="false" customHeight="false" outlineLevel="0" collapsed="false">
      <c r="A5" s="2" t="s">
        <v>233</v>
      </c>
      <c r="B5" s="12" t="n">
        <f aca="false">Parts!D3</f>
        <v>120</v>
      </c>
      <c r="D5" s="20" t="n">
        <f aca="false">SUM($C$2:C5)-SUM($B$2:B5)</f>
        <v>40</v>
      </c>
      <c r="E5" s="6" t="s">
        <v>234</v>
      </c>
    </row>
    <row r="6" customFormat="false" ht="15" hidden="false" customHeight="false" outlineLevel="0" collapsed="false">
      <c r="A6" s="2" t="s">
        <v>235</v>
      </c>
      <c r="B6" s="12" t="n">
        <f aca="false">Parts!D9</f>
        <v>150</v>
      </c>
      <c r="D6" s="20" t="n">
        <f aca="false">SUM($C$2:C6)-SUM($B$2:B6)</f>
        <v>-110</v>
      </c>
      <c r="E6" s="6" t="s">
        <v>236</v>
      </c>
    </row>
    <row r="7" customFormat="false" ht="15" hidden="false" customHeight="false" outlineLevel="0" collapsed="false">
      <c r="A7" s="2" t="s">
        <v>237</v>
      </c>
      <c r="B7" s="12" t="n">
        <f aca="false">Caves!O3</f>
        <v>200</v>
      </c>
      <c r="D7" s="20" t="n">
        <f aca="false">SUM($C$2:C7)-SUM($B$2:B7)</f>
        <v>-310</v>
      </c>
      <c r="E7" s="6"/>
    </row>
    <row r="8" customFormat="false" ht="15" hidden="false" customHeight="false" outlineLevel="0" collapsed="false">
      <c r="A8" s="2" t="s">
        <v>238</v>
      </c>
      <c r="C8" s="12" t="n">
        <f aca="false">Caves!N3</f>
        <v>800</v>
      </c>
      <c r="D8" s="20" t="n">
        <f aca="false">SUM($C$2:C8)-SUM($B$2:B8)</f>
        <v>490</v>
      </c>
      <c r="E8" s="6" t="s">
        <v>239</v>
      </c>
    </row>
    <row r="9" customFormat="false" ht="15" hidden="false" customHeight="false" outlineLevel="0" collapsed="false">
      <c r="A9" s="2" t="s">
        <v>240</v>
      </c>
      <c r="B9" s="12" t="n">
        <f aca="false">Parts!D7</f>
        <v>900</v>
      </c>
      <c r="D9" s="20" t="n">
        <f aca="false">SUM($C$2:C9)-SUM($B$2:B9)</f>
        <v>-410</v>
      </c>
      <c r="E9" s="6" t="s">
        <v>241</v>
      </c>
    </row>
    <row r="10" customFormat="false" ht="15" hidden="false" customHeight="false" outlineLevel="0" collapsed="false">
      <c r="A10" s="2" t="s">
        <v>242</v>
      </c>
      <c r="B10" s="12" t="n">
        <f aca="false">Caves!O4</f>
        <v>500</v>
      </c>
      <c r="D10" s="20" t="n">
        <f aca="false">SUM($C$2:C10)-SUM($B$2:B10)</f>
        <v>-910</v>
      </c>
      <c r="E10" s="6"/>
    </row>
    <row r="11" customFormat="false" ht="15" hidden="false" customHeight="false" outlineLevel="0" collapsed="false">
      <c r="A11" s="2" t="s">
        <v>243</v>
      </c>
      <c r="C11" s="12" t="n">
        <f aca="false">Caves!N4</f>
        <v>2000</v>
      </c>
      <c r="D11" s="20" t="n">
        <f aca="false">SUM($C$2:C11)-SUM($B$2:B11)</f>
        <v>1090</v>
      </c>
      <c r="E11" s="6" t="s">
        <v>244</v>
      </c>
    </row>
    <row r="13" customFormat="false" ht="15" hidden="false" customHeight="false" outlineLevel="0" collapsed="false">
      <c r="A13" s="6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1" min="10" style="0" width="9"/>
    <col collapsed="false" customWidth="true" hidden="false" outlineLevel="0" max="12" min="12" style="0" width="20"/>
  </cols>
  <sheetData>
    <row r="1" customFormat="false" ht="26.85" hidden="false" customHeight="false" outlineLevel="0" collapsed="false">
      <c r="A1" s="7" t="s">
        <v>246</v>
      </c>
      <c r="B1" s="7" t="s">
        <v>247</v>
      </c>
      <c r="C1" s="7" t="s">
        <v>248</v>
      </c>
      <c r="D1" s="7" t="s">
        <v>249</v>
      </c>
      <c r="E1" s="7" t="s">
        <v>250</v>
      </c>
      <c r="F1" s="7" t="s">
        <v>251</v>
      </c>
    </row>
    <row r="2" customFormat="false" ht="15" hidden="false" customHeight="false" outlineLevel="0" collapsed="false">
      <c r="A2" s="2" t="s">
        <v>252</v>
      </c>
      <c r="B2" s="2" t="n">
        <v>1</v>
      </c>
      <c r="C2" s="11" t="n">
        <v>40</v>
      </c>
      <c r="D2" s="4" t="n">
        <v>3</v>
      </c>
      <c r="E2" s="13" t="n">
        <f aca="false">C2*D2</f>
        <v>120</v>
      </c>
      <c r="F2" s="6" t="s">
        <v>253</v>
      </c>
    </row>
    <row r="3" customFormat="false" ht="15" hidden="false" customHeight="false" outlineLevel="0" collapsed="false">
      <c r="A3" s="2" t="s">
        <v>254</v>
      </c>
      <c r="B3" s="2" t="n">
        <v>2</v>
      </c>
      <c r="C3" s="11" t="n">
        <v>15</v>
      </c>
      <c r="D3" s="4" t="n">
        <v>5</v>
      </c>
      <c r="E3" s="13" t="n">
        <f aca="false">C3*D3</f>
        <v>75</v>
      </c>
      <c r="F3" s="6" t="s">
        <v>255</v>
      </c>
    </row>
    <row r="4" customFormat="false" ht="15" hidden="false" customHeight="false" outlineLevel="0" collapsed="false">
      <c r="A4" s="2" t="s">
        <v>256</v>
      </c>
      <c r="B4" s="2" t="n">
        <v>3</v>
      </c>
      <c r="C4" s="11" t="n">
        <v>10</v>
      </c>
      <c r="D4" s="4" t="n">
        <v>5</v>
      </c>
      <c r="E4" s="13" t="n">
        <f aca="false">C4*D4</f>
        <v>50</v>
      </c>
      <c r="F4" s="6" t="s">
        <v>257</v>
      </c>
    </row>
    <row r="5" customFormat="false" ht="15" hidden="false" customHeight="false" outlineLevel="0" collapsed="false">
      <c r="A5" s="2" t="s">
        <v>258</v>
      </c>
      <c r="B5" s="2" t="n">
        <v>4</v>
      </c>
      <c r="C5" s="11" t="n">
        <v>60</v>
      </c>
      <c r="D5" s="4" t="n">
        <v>2</v>
      </c>
      <c r="E5" s="13" t="n">
        <f aca="false">C5*D5</f>
        <v>120</v>
      </c>
      <c r="F5" s="6" t="s">
        <v>259</v>
      </c>
    </row>
    <row r="7" customFormat="false" ht="26.85" hidden="false" customHeight="false" outlineLevel="0" collapsed="false">
      <c r="A7" s="7" t="s">
        <v>131</v>
      </c>
      <c r="B7" s="7" t="s">
        <v>260</v>
      </c>
    </row>
    <row r="8" customFormat="false" ht="15" hidden="false" customHeight="false" outlineLevel="0" collapsed="false">
      <c r="A8" s="2" t="s">
        <v>132</v>
      </c>
      <c r="B8" s="2" t="n">
        <f aca="false">$B$12+0</f>
        <v>3</v>
      </c>
    </row>
    <row r="9" customFormat="false" ht="15" hidden="false" customHeight="false" outlineLevel="0" collapsed="false">
      <c r="A9" s="2" t="s">
        <v>135</v>
      </c>
      <c r="B9" s="2" t="n">
        <f aca="false">$B$12+1</f>
        <v>4</v>
      </c>
    </row>
    <row r="10" customFormat="false" ht="15" hidden="false" customHeight="false" outlineLevel="0" collapsed="false">
      <c r="A10" s="2" t="s">
        <v>136</v>
      </c>
      <c r="B10" s="2" t="n">
        <f aca="false">$B$12+2</f>
        <v>5</v>
      </c>
    </row>
    <row r="12" customFormat="false" ht="15" hidden="false" customHeight="false" outlineLevel="0" collapsed="false">
      <c r="A12" s="2" t="s">
        <v>261</v>
      </c>
      <c r="B12" s="4" t="n">
        <v>3</v>
      </c>
    </row>
    <row r="13" customFormat="false" ht="15" hidden="false" customHeight="false" outlineLevel="0" collapsed="false">
      <c r="A13" s="6" t="s">
        <v>262</v>
      </c>
    </row>
    <row r="15" customFormat="false" ht="26.85" hidden="false" customHeight="false" outlineLevel="0" collapsed="false">
      <c r="A15" s="7" t="s">
        <v>263</v>
      </c>
      <c r="B15" s="7" t="s">
        <v>182</v>
      </c>
      <c r="C15" s="7" t="s">
        <v>175</v>
      </c>
      <c r="D15" s="7" t="s">
        <v>176</v>
      </c>
      <c r="E15" s="7" t="s">
        <v>177</v>
      </c>
      <c r="F15" s="7" t="s">
        <v>178</v>
      </c>
      <c r="G15" s="7" t="s">
        <v>183</v>
      </c>
      <c r="H15" s="7" t="s">
        <v>264</v>
      </c>
      <c r="I15" s="7" t="s">
        <v>265</v>
      </c>
      <c r="J15" s="7" t="s">
        <v>266</v>
      </c>
      <c r="K15" s="7" t="s">
        <v>267</v>
      </c>
      <c r="L15" s="7" t="s">
        <v>268</v>
      </c>
    </row>
    <row r="16" customFormat="false" ht="15" hidden="false" customHeight="false" outlineLevel="0" collapsed="false">
      <c r="A16" s="2" t="s">
        <v>269</v>
      </c>
      <c r="B16" s="4" t="n">
        <v>1</v>
      </c>
      <c r="C16" s="4" t="n">
        <v>3</v>
      </c>
      <c r="D16" s="4" t="n">
        <v>1</v>
      </c>
      <c r="E16" s="4" t="n">
        <v>0</v>
      </c>
      <c r="F16" s="4" t="n">
        <v>0</v>
      </c>
      <c r="G16" s="4" t="n">
        <v>150</v>
      </c>
      <c r="H16" s="4" t="n">
        <v>3</v>
      </c>
      <c r="I16" s="4" t="n">
        <v>8</v>
      </c>
      <c r="J16" s="4" t="n">
        <v>6</v>
      </c>
      <c r="K16" s="4" t="n">
        <v>4</v>
      </c>
      <c r="L16" s="15" t="n">
        <f aca="false">60/K16</f>
        <v>15</v>
      </c>
    </row>
    <row r="17" customFormat="false" ht="15" hidden="false" customHeight="false" outlineLevel="0" collapsed="false">
      <c r="A17" s="2" t="s">
        <v>270</v>
      </c>
      <c r="B17" s="4" t="n">
        <v>1</v>
      </c>
      <c r="C17" s="4" t="n">
        <v>0</v>
      </c>
      <c r="D17" s="4" t="n">
        <v>2</v>
      </c>
      <c r="E17" s="4" t="n">
        <v>1</v>
      </c>
      <c r="F17" s="4" t="n">
        <v>0</v>
      </c>
      <c r="G17" s="4" t="n">
        <v>250</v>
      </c>
      <c r="H17" s="4" t="n">
        <v>5</v>
      </c>
      <c r="I17" s="4" t="n">
        <v>20</v>
      </c>
      <c r="J17" s="4" t="n">
        <v>16</v>
      </c>
      <c r="K17" s="4" t="n">
        <v>12</v>
      </c>
      <c r="L17" s="15" t="n">
        <f aca="false">60/K17</f>
        <v>5</v>
      </c>
    </row>
    <row r="18" customFormat="false" ht="15" hidden="false" customHeight="false" outlineLevel="0" collapsed="false">
      <c r="A18" s="2" t="s">
        <v>271</v>
      </c>
      <c r="B18" s="4" t="n">
        <v>1</v>
      </c>
      <c r="C18" s="4" t="n">
        <v>0</v>
      </c>
      <c r="D18" s="4" t="n">
        <v>2</v>
      </c>
      <c r="E18" s="4" t="n">
        <v>0</v>
      </c>
      <c r="F18" s="4" t="n">
        <v>1</v>
      </c>
      <c r="G18" s="4" t="n">
        <v>250</v>
      </c>
      <c r="H18" s="4" t="n">
        <v>0</v>
      </c>
      <c r="I18" s="4" t="n">
        <v>15</v>
      </c>
      <c r="J18" s="4" t="n">
        <v>12</v>
      </c>
      <c r="K18" s="4" t="n">
        <v>9</v>
      </c>
      <c r="L18" s="15" t="n">
        <f aca="false">60/K18</f>
        <v>6.66666666666667</v>
      </c>
    </row>
    <row r="19" customFormat="false" ht="15" hidden="false" customHeight="false" outlineLevel="0" collapsed="false">
      <c r="A19" s="2" t="s">
        <v>272</v>
      </c>
      <c r="B19" s="4" t="n">
        <v>2</v>
      </c>
      <c r="C19" s="4" t="n">
        <v>0</v>
      </c>
      <c r="D19" s="4" t="n">
        <v>0</v>
      </c>
      <c r="E19" s="4" t="n">
        <v>2</v>
      </c>
      <c r="F19" s="4" t="n">
        <v>1</v>
      </c>
      <c r="G19" s="4" t="n">
        <v>400</v>
      </c>
      <c r="H19" s="4" t="n">
        <v>0</v>
      </c>
      <c r="I19" s="4" t="n">
        <v>30</v>
      </c>
      <c r="J19" s="4" t="n">
        <v>25</v>
      </c>
      <c r="K19" s="4" t="n">
        <v>20</v>
      </c>
      <c r="L19" s="15" t="n">
        <f aca="false">60/K19</f>
        <v>3</v>
      </c>
    </row>
    <row r="21" customFormat="false" ht="15" hidden="false" customHeight="false" outlineLevel="0" collapsed="false">
      <c r="A21" s="6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7" t="s">
        <v>274</v>
      </c>
      <c r="B1" s="7" t="s">
        <v>67</v>
      </c>
      <c r="C1" s="7" t="s">
        <v>275</v>
      </c>
      <c r="D1" s="7" t="s">
        <v>276</v>
      </c>
      <c r="E1" s="7" t="s">
        <v>277</v>
      </c>
      <c r="F1" s="7" t="s">
        <v>278</v>
      </c>
    </row>
    <row r="2" customFormat="false" ht="15" hidden="false" customHeight="false" outlineLevel="0" collapsed="false">
      <c r="A2" s="2" t="s">
        <v>279</v>
      </c>
      <c r="B2" s="2" t="n">
        <v>3</v>
      </c>
      <c r="C2" s="8" t="n">
        <v>0.25</v>
      </c>
      <c r="D2" s="8" t="n">
        <v>0.3</v>
      </c>
      <c r="E2" s="2" t="s">
        <v>280</v>
      </c>
      <c r="F2" s="2" t="s">
        <v>281</v>
      </c>
    </row>
    <row r="3" customFormat="false" ht="15" hidden="false" customHeight="false" outlineLevel="0" collapsed="false">
      <c r="A3" s="2" t="s">
        <v>282</v>
      </c>
      <c r="B3" s="2" t="n">
        <v>1</v>
      </c>
      <c r="C3" s="8" t="n">
        <v>0.05</v>
      </c>
      <c r="D3" s="8" t="n">
        <v>0</v>
      </c>
      <c r="E3" s="2" t="s">
        <v>283</v>
      </c>
      <c r="F3" s="2" t="s">
        <v>284</v>
      </c>
    </row>
    <row r="4" customFormat="false" ht="15" hidden="false" customHeight="false" outlineLevel="0" collapsed="false">
      <c r="A4" s="2" t="s">
        <v>285</v>
      </c>
      <c r="B4" s="2" t="n">
        <v>2</v>
      </c>
      <c r="C4" s="8" t="n">
        <v>0.15</v>
      </c>
      <c r="D4" s="8" t="n">
        <v>0.1</v>
      </c>
      <c r="E4" s="2" t="s">
        <v>286</v>
      </c>
      <c r="F4" s="2" t="s">
        <v>287</v>
      </c>
    </row>
    <row r="5" customFormat="false" ht="15" hidden="false" customHeight="false" outlineLevel="0" collapsed="false">
      <c r="A5" s="2" t="s">
        <v>288</v>
      </c>
      <c r="B5" s="2" t="n">
        <v>3</v>
      </c>
      <c r="C5" s="8" t="n">
        <v>0.3</v>
      </c>
      <c r="D5" s="8" t="n">
        <v>0.3</v>
      </c>
      <c r="E5" s="2" t="s">
        <v>289</v>
      </c>
      <c r="F5" s="2" t="s">
        <v>290</v>
      </c>
    </row>
    <row r="6" customFormat="false" ht="15" hidden="false" customHeight="false" outlineLevel="0" collapsed="false">
      <c r="A6" s="2" t="s">
        <v>291</v>
      </c>
      <c r="B6" s="2" t="n">
        <v>2</v>
      </c>
      <c r="C6" s="2" t="s">
        <v>292</v>
      </c>
      <c r="D6" s="8" t="n">
        <v>0</v>
      </c>
      <c r="E6" s="2" t="s">
        <v>293</v>
      </c>
      <c r="F6" s="2" t="s">
        <v>294</v>
      </c>
    </row>
    <row r="8" customFormat="false" ht="15" hidden="false" customHeight="false" outlineLevel="0" collapsed="false">
      <c r="A8" s="6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46"/>
  </cols>
  <sheetData>
    <row r="1" customFormat="false" ht="26.85" hidden="false" customHeight="false" outlineLevel="0" collapsed="false">
      <c r="A1" s="7" t="s">
        <v>296</v>
      </c>
      <c r="B1" s="7" t="s">
        <v>297</v>
      </c>
      <c r="C1" s="7" t="s">
        <v>298</v>
      </c>
      <c r="D1" s="7" t="s">
        <v>299</v>
      </c>
      <c r="E1" s="7" t="s">
        <v>300</v>
      </c>
      <c r="F1" s="7" t="s">
        <v>301</v>
      </c>
      <c r="G1" s="7" t="s">
        <v>302</v>
      </c>
      <c r="H1" s="7" t="s">
        <v>303</v>
      </c>
      <c r="I1" s="7" t="s">
        <v>304</v>
      </c>
      <c r="J1" s="7" t="s">
        <v>305</v>
      </c>
      <c r="K1" s="7" t="s">
        <v>306</v>
      </c>
      <c r="L1" s="7" t="s">
        <v>278</v>
      </c>
    </row>
    <row r="2" customFormat="false" ht="15" hidden="false" customHeight="false" outlineLevel="0" collapsed="false">
      <c r="A2" s="2" t="s">
        <v>307</v>
      </c>
      <c r="B2" s="2" t="s">
        <v>308</v>
      </c>
      <c r="C2" s="11" t="n">
        <v>0</v>
      </c>
      <c r="D2" s="4" t="n">
        <v>3</v>
      </c>
      <c r="E2" s="4" t="n">
        <v>0.45</v>
      </c>
      <c r="F2" s="15" t="n">
        <f aca="false">D2*$C$9/(E2*$C$10)</f>
        <v>6.66666666666667</v>
      </c>
      <c r="G2" s="15" t="n">
        <f aca="false">D2*$D$9/(E2*$D$10)</f>
        <v>11.1111111111111</v>
      </c>
      <c r="H2" s="15" t="n">
        <f aca="false">D2*$E$9/(E2*$E$10)</f>
        <v>18.3333333333333</v>
      </c>
      <c r="I2" s="8" t="n">
        <v>0.5</v>
      </c>
      <c r="J2" s="15" t="n">
        <f aca="false">F2*I2</f>
        <v>3.33333333333333</v>
      </c>
      <c r="K2" s="2" t="s">
        <v>126</v>
      </c>
      <c r="L2" s="6" t="s">
        <v>309</v>
      </c>
    </row>
    <row r="3" customFormat="false" ht="15" hidden="false" customHeight="false" outlineLevel="0" collapsed="false">
      <c r="A3" s="2" t="s">
        <v>310</v>
      </c>
      <c r="B3" s="2" t="s">
        <v>308</v>
      </c>
      <c r="C3" s="11" t="n">
        <v>180</v>
      </c>
      <c r="D3" s="4" t="n">
        <v>8</v>
      </c>
      <c r="E3" s="4" t="n">
        <v>0.7</v>
      </c>
      <c r="F3" s="15" t="n">
        <f aca="false">D3*$C$9/(E3*$C$10)</f>
        <v>11.4285714285714</v>
      </c>
      <c r="G3" s="15" t="n">
        <f aca="false">D3*$D$9/(E3*$D$10)</f>
        <v>19.047619047619</v>
      </c>
      <c r="H3" s="15" t="n">
        <f aca="false">D3*$E$9/(E3*$E$10)</f>
        <v>31.4285714285714</v>
      </c>
      <c r="I3" s="8" t="n">
        <v>0.9</v>
      </c>
      <c r="J3" s="15" t="n">
        <f aca="false">F3*I3</f>
        <v>10.2857142857143</v>
      </c>
      <c r="K3" s="2" t="s">
        <v>311</v>
      </c>
      <c r="L3" s="6" t="s">
        <v>312</v>
      </c>
    </row>
    <row r="4" customFormat="false" ht="15" hidden="false" customHeight="false" outlineLevel="0" collapsed="false">
      <c r="A4" s="2" t="s">
        <v>313</v>
      </c>
      <c r="B4" s="2" t="s">
        <v>314</v>
      </c>
      <c r="C4" s="11" t="n">
        <v>220</v>
      </c>
      <c r="D4" s="4" t="n">
        <v>3</v>
      </c>
      <c r="E4" s="4" t="n">
        <v>0.3</v>
      </c>
      <c r="F4" s="15" t="n">
        <f aca="false">D4*$C$9/(E4*$C$10)</f>
        <v>10</v>
      </c>
      <c r="G4" s="15" t="n">
        <f aca="false">D4*$D$9/(E4*$D$10)</f>
        <v>16.6666666666667</v>
      </c>
      <c r="H4" s="15" t="n">
        <f aca="false">D4*$E$9/(E4*$E$10)</f>
        <v>27.5</v>
      </c>
      <c r="I4" s="8" t="n">
        <v>0.25</v>
      </c>
      <c r="J4" s="15" t="n">
        <f aca="false">F4*I4</f>
        <v>2.5</v>
      </c>
      <c r="K4" s="2" t="s">
        <v>126</v>
      </c>
      <c r="L4" s="6" t="s">
        <v>315</v>
      </c>
    </row>
    <row r="5" customFormat="false" ht="15" hidden="false" customHeight="false" outlineLevel="0" collapsed="false">
      <c r="A5" s="2" t="s">
        <v>316</v>
      </c>
      <c r="B5" s="2" t="s">
        <v>317</v>
      </c>
      <c r="C5" s="11" t="n">
        <v>260</v>
      </c>
      <c r="D5" s="4" t="n">
        <v>2</v>
      </c>
      <c r="E5" s="4" t="n">
        <v>1.6</v>
      </c>
      <c r="F5" s="15" t="n">
        <f aca="false">D5*$C$9/(E5*$C$10)</f>
        <v>1.25</v>
      </c>
      <c r="G5" s="15" t="n">
        <f aca="false">D5*$D$9/(E5*$D$10)</f>
        <v>2.08333333333333</v>
      </c>
      <c r="H5" s="15" t="n">
        <f aca="false">D5*$E$9/(E5*$E$10)</f>
        <v>3.4375</v>
      </c>
      <c r="I5" s="8" t="n">
        <v>0.2</v>
      </c>
      <c r="J5" s="15" t="n">
        <f aca="false">F5*I5</f>
        <v>0.25</v>
      </c>
      <c r="K5" s="2" t="s">
        <v>126</v>
      </c>
      <c r="L5" s="6" t="s">
        <v>318</v>
      </c>
    </row>
    <row r="6" customFormat="false" ht="15" hidden="false" customHeight="false" outlineLevel="0" collapsed="false">
      <c r="A6" s="2" t="s">
        <v>319</v>
      </c>
      <c r="B6" s="2" t="s">
        <v>320</v>
      </c>
      <c r="C6" s="11" t="n">
        <v>300</v>
      </c>
      <c r="D6" s="4" t="n">
        <v>1</v>
      </c>
      <c r="E6" s="4" t="n">
        <v>2.5</v>
      </c>
      <c r="F6" s="15" t="n">
        <f aca="false">D6*$C$9/(E6*$C$10)</f>
        <v>0.4</v>
      </c>
      <c r="G6" s="15" t="n">
        <f aca="false">D6*$D$9/(E6*$D$10)</f>
        <v>0.666666666666667</v>
      </c>
      <c r="H6" s="15" t="n">
        <f aca="false">D6*$E$9/(E6*$E$10)</f>
        <v>1.1</v>
      </c>
      <c r="I6" s="8" t="n">
        <v>0</v>
      </c>
      <c r="J6" s="15" t="n">
        <f aca="false">F6*I6</f>
        <v>0</v>
      </c>
      <c r="K6" s="2" t="s">
        <v>321</v>
      </c>
      <c r="L6" s="6" t="s">
        <v>322</v>
      </c>
    </row>
    <row r="9" customFormat="false" ht="15" hidden="false" customHeight="false" outlineLevel="0" collapsed="false">
      <c r="A9" s="2" t="s">
        <v>323</v>
      </c>
      <c r="B9" s="2" t="s">
        <v>324</v>
      </c>
      <c r="C9" s="4" t="n">
        <v>1</v>
      </c>
      <c r="D9" s="4" t="n">
        <v>1.5</v>
      </c>
      <c r="E9" s="4" t="n">
        <v>2.2</v>
      </c>
    </row>
    <row r="10" customFormat="false" ht="15" hidden="false" customHeight="false" outlineLevel="0" collapsed="false">
      <c r="B10" s="2" t="s">
        <v>325</v>
      </c>
      <c r="C10" s="4" t="n">
        <v>1</v>
      </c>
      <c r="D10" s="4" t="n">
        <v>0.9</v>
      </c>
      <c r="E10" s="4" t="n">
        <v>0.8</v>
      </c>
    </row>
    <row r="12" customFormat="false" ht="15" hidden="false" customHeight="false" outlineLevel="0" collapsed="false">
      <c r="A12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6"/>
    <col collapsed="false" customWidth="true" hidden="false" outlineLevel="0" max="10" min="10" style="0" width="15"/>
  </cols>
  <sheetData>
    <row r="1" customFormat="false" ht="26.85" hidden="false" customHeight="false" outlineLevel="0" collapsed="false">
      <c r="A1" s="7" t="s">
        <v>327</v>
      </c>
      <c r="B1" s="7" t="s">
        <v>328</v>
      </c>
      <c r="C1" s="7" t="s">
        <v>329</v>
      </c>
      <c r="D1" s="7" t="s">
        <v>330</v>
      </c>
      <c r="E1" s="7" t="s">
        <v>331</v>
      </c>
      <c r="F1" s="7" t="s">
        <v>332</v>
      </c>
      <c r="G1" s="7" t="s">
        <v>183</v>
      </c>
      <c r="H1" s="7" t="s">
        <v>333</v>
      </c>
      <c r="I1" s="7" t="s">
        <v>334</v>
      </c>
      <c r="J1" s="7" t="s">
        <v>335</v>
      </c>
    </row>
    <row r="2" customFormat="false" ht="15" hidden="false" customHeight="false" outlineLevel="0" collapsed="false">
      <c r="A2" s="2" t="s">
        <v>336</v>
      </c>
      <c r="B2" s="2" t="s">
        <v>337</v>
      </c>
      <c r="C2" s="4" t="n">
        <v>10</v>
      </c>
      <c r="D2" s="4" t="n">
        <v>6</v>
      </c>
      <c r="E2" s="4" t="n">
        <v>1.2</v>
      </c>
      <c r="F2" s="8" t="n">
        <v>0</v>
      </c>
      <c r="G2" s="4" t="n">
        <v>3</v>
      </c>
      <c r="H2" s="21" t="n">
        <f aca="false">C2/(Weapons!$F$2*(1-F2))</f>
        <v>1.5</v>
      </c>
      <c r="I2" s="21" t="n">
        <f aca="false">C2/Weapons!$F$3</f>
        <v>0.875</v>
      </c>
      <c r="J2" s="21" t="n">
        <f aca="false">C2/(Weapons!$F$4*(1-F2))</f>
        <v>1</v>
      </c>
    </row>
    <row r="3" customFormat="false" ht="15" hidden="false" customHeight="false" outlineLevel="0" collapsed="false">
      <c r="A3" s="2" t="s">
        <v>338</v>
      </c>
      <c r="B3" s="2" t="s">
        <v>337</v>
      </c>
      <c r="C3" s="4" t="n">
        <v>5</v>
      </c>
      <c r="D3" s="4" t="n">
        <v>4</v>
      </c>
      <c r="E3" s="4" t="n">
        <v>3.6</v>
      </c>
      <c r="F3" s="8" t="n">
        <v>0</v>
      </c>
      <c r="G3" s="4" t="n">
        <v>2</v>
      </c>
      <c r="H3" s="21" t="n">
        <f aca="false">C3/(Weapons!$F$2*(1-F3))</f>
        <v>0.75</v>
      </c>
      <c r="I3" s="21" t="n">
        <f aca="false">C3/Weapons!$F$3</f>
        <v>0.4375</v>
      </c>
      <c r="J3" s="21" t="n">
        <f aca="false">C3/(Weapons!$F$4*(1-F3))</f>
        <v>0.5</v>
      </c>
    </row>
    <row r="4" customFormat="false" ht="15" hidden="false" customHeight="false" outlineLevel="0" collapsed="false">
      <c r="A4" s="2" t="s">
        <v>339</v>
      </c>
      <c r="B4" s="2" t="s">
        <v>340</v>
      </c>
      <c r="C4" s="4" t="n">
        <v>14</v>
      </c>
      <c r="D4" s="4" t="n">
        <v>8</v>
      </c>
      <c r="E4" s="4" t="n">
        <v>0</v>
      </c>
      <c r="F4" s="8" t="n">
        <v>0</v>
      </c>
      <c r="G4" s="4" t="n">
        <v>6</v>
      </c>
      <c r="H4" s="21" t="n">
        <f aca="false">C4/(Weapons!$F$2*(1-F4))</f>
        <v>2.1</v>
      </c>
      <c r="I4" s="21" t="n">
        <f aca="false">C4/Weapons!$F$3</f>
        <v>1.225</v>
      </c>
      <c r="J4" s="21" t="n">
        <f aca="false">C4/(Weapons!$F$4*(1-F4))</f>
        <v>1.4</v>
      </c>
    </row>
    <row r="5" customFormat="false" ht="15" hidden="false" customHeight="false" outlineLevel="0" collapsed="false">
      <c r="A5" s="2" t="s">
        <v>341</v>
      </c>
      <c r="B5" s="2" t="s">
        <v>342</v>
      </c>
      <c r="C5" s="4" t="n">
        <v>22</v>
      </c>
      <c r="D5" s="4" t="n">
        <v>10</v>
      </c>
      <c r="E5" s="4" t="n">
        <v>1.6</v>
      </c>
      <c r="F5" s="8" t="n">
        <v>0.7</v>
      </c>
      <c r="G5" s="4" t="n">
        <v>8</v>
      </c>
      <c r="H5" s="21" t="n">
        <f aca="false">C5/(Weapons!$F$2*(1-F5))</f>
        <v>11</v>
      </c>
      <c r="I5" s="21" t="n">
        <f aca="false">C5/Weapons!$F$3</f>
        <v>1.925</v>
      </c>
      <c r="J5" s="21" t="n">
        <f aca="false">C5/(Weapons!$F$4*(1-F5))</f>
        <v>7.33333333333333</v>
      </c>
    </row>
    <row r="6" customFormat="false" ht="15" hidden="false" customHeight="false" outlineLevel="0" collapsed="false">
      <c r="A6" s="2" t="s">
        <v>343</v>
      </c>
      <c r="B6" s="2" t="s">
        <v>344</v>
      </c>
      <c r="C6" s="4" t="n">
        <v>3</v>
      </c>
      <c r="D6" s="4" t="n">
        <v>3</v>
      </c>
      <c r="E6" s="4" t="n">
        <v>3</v>
      </c>
      <c r="F6" s="8" t="n">
        <v>0</v>
      </c>
      <c r="G6" s="4" t="n">
        <v>1</v>
      </c>
      <c r="H6" s="21" t="n">
        <f aca="false">C6/(Weapons!$F$2*(1-F6))</f>
        <v>0.45</v>
      </c>
      <c r="I6" s="21" t="n">
        <f aca="false">C6/Weapons!$F$3</f>
        <v>0.2625</v>
      </c>
      <c r="J6" s="21" t="n">
        <f aca="false">C6/(Weapons!$F$4*(1-F6))</f>
        <v>0.3</v>
      </c>
    </row>
    <row r="7" customFormat="false" ht="15" hidden="false" customHeight="false" outlineLevel="0" collapsed="false">
      <c r="A7" s="2" t="s">
        <v>345</v>
      </c>
      <c r="B7" s="2" t="s">
        <v>346</v>
      </c>
      <c r="C7" s="4" t="n">
        <v>70</v>
      </c>
      <c r="D7" s="4" t="n">
        <v>7</v>
      </c>
      <c r="E7" s="4" t="n">
        <v>0.8</v>
      </c>
      <c r="F7" s="8" t="n">
        <v>0</v>
      </c>
      <c r="G7" s="4" t="n">
        <v>150</v>
      </c>
      <c r="H7" s="21" t="n">
        <f aca="false">C7/(Weapons!$F$2*(1-F7))</f>
        <v>10.5</v>
      </c>
      <c r="I7" s="21" t="n">
        <f aca="false">C7/Weapons!$F$3</f>
        <v>6.125</v>
      </c>
      <c r="J7" s="21" t="n">
        <f aca="false">C7/(Weapons!$F$4*(1-F7))</f>
        <v>7</v>
      </c>
    </row>
    <row r="8" customFormat="false" ht="15" hidden="false" customHeight="false" outlineLevel="0" collapsed="false">
      <c r="A8" s="2" t="s">
        <v>347</v>
      </c>
      <c r="B8" s="2" t="s">
        <v>348</v>
      </c>
      <c r="C8" s="4" t="n">
        <v>160</v>
      </c>
      <c r="D8" s="4" t="n">
        <v>15</v>
      </c>
      <c r="E8" s="4" t="n">
        <v>1.4</v>
      </c>
      <c r="F8" s="8" t="n">
        <v>0.5</v>
      </c>
      <c r="G8" s="4" t="n">
        <v>300</v>
      </c>
      <c r="H8" s="21" t="n">
        <f aca="false">C8/(Weapons!$F$2*(1-F8))</f>
        <v>48</v>
      </c>
      <c r="I8" s="21" t="n">
        <f aca="false">C8/Weapons!$F$3</f>
        <v>14</v>
      </c>
      <c r="J8" s="21" t="n">
        <f aca="false">C8/(Weapons!$F$4*(1-F8))</f>
        <v>32</v>
      </c>
    </row>
    <row r="9" customFormat="false" ht="15" hidden="false" customHeight="false" outlineLevel="0" collapsed="false">
      <c r="A9" s="2" t="s">
        <v>349</v>
      </c>
      <c r="B9" s="2" t="s">
        <v>350</v>
      </c>
      <c r="C9" s="4" t="n">
        <v>450</v>
      </c>
      <c r="D9" s="4" t="n">
        <v>18</v>
      </c>
      <c r="E9" s="4" t="n">
        <v>1</v>
      </c>
      <c r="F9" s="8" t="n">
        <v>0</v>
      </c>
      <c r="G9" s="4" t="n">
        <v>500</v>
      </c>
      <c r="H9" s="21" t="n">
        <f aca="false">C9/(Weapons!$F$2*(1-F9))</f>
        <v>67.5</v>
      </c>
      <c r="I9" s="21" t="n">
        <f aca="false">C9/Weapons!$F$3</f>
        <v>39.375</v>
      </c>
      <c r="J9" s="21" t="n">
        <f aca="false">C9/(Weapons!$F$4*(1-F9))</f>
        <v>45</v>
      </c>
    </row>
    <row r="10" customFormat="false" ht="15" hidden="false" customHeight="false" outlineLevel="0" collapsed="false">
      <c r="A10" s="2" t="s">
        <v>351</v>
      </c>
      <c r="B10" s="2" t="s">
        <v>352</v>
      </c>
      <c r="C10" s="4" t="n">
        <v>220</v>
      </c>
      <c r="D10" s="4" t="n">
        <v>16</v>
      </c>
      <c r="E10" s="4" t="n">
        <v>1.2</v>
      </c>
      <c r="F10" s="8" t="n">
        <v>0.4</v>
      </c>
      <c r="G10" s="4" t="n">
        <v>400</v>
      </c>
      <c r="H10" s="21" t="n">
        <f aca="false">C10/(Weapons!$F$2*(1-F10))</f>
        <v>55</v>
      </c>
      <c r="I10" s="21" t="n">
        <f aca="false">C10/Weapons!$F$3</f>
        <v>19.25</v>
      </c>
      <c r="J10" s="21" t="n">
        <f aca="false">C10/(Weapons!$F$4*(1-F10))</f>
        <v>36.6666666666667</v>
      </c>
    </row>
    <row r="11" customFormat="false" ht="15" hidden="false" customHeight="false" outlineLevel="0" collapsed="false">
      <c r="A11" s="2" t="s">
        <v>353</v>
      </c>
      <c r="B11" s="2" t="s">
        <v>354</v>
      </c>
      <c r="C11" s="4" t="n">
        <v>300</v>
      </c>
      <c r="D11" s="4" t="n">
        <v>18</v>
      </c>
      <c r="E11" s="4" t="n">
        <v>0.9</v>
      </c>
      <c r="F11" s="8" t="n">
        <v>0</v>
      </c>
      <c r="G11" s="4" t="n">
        <v>500</v>
      </c>
      <c r="H11" s="21" t="n">
        <f aca="false">C11/(Weapons!$F$2*(1-F11))</f>
        <v>45</v>
      </c>
      <c r="I11" s="21" t="n">
        <f aca="false">C11/Weapons!$F$3</f>
        <v>26.25</v>
      </c>
      <c r="J11" s="21" t="n">
        <f aca="false">C11/(Weapons!$F$4*(1-F11))</f>
        <v>30</v>
      </c>
    </row>
    <row r="12" customFormat="false" ht="15" hidden="false" customHeight="false" outlineLevel="0" collapsed="false">
      <c r="A12" s="2" t="s">
        <v>355</v>
      </c>
      <c r="B12" s="2" t="s">
        <v>356</v>
      </c>
      <c r="C12" s="4" t="n">
        <v>800</v>
      </c>
      <c r="D12" s="4" t="n">
        <v>22</v>
      </c>
      <c r="E12" s="4" t="n">
        <v>0.8</v>
      </c>
      <c r="F12" s="8" t="n">
        <v>0</v>
      </c>
      <c r="G12" s="4" t="n">
        <v>1000</v>
      </c>
      <c r="H12" s="21" t="n">
        <f aca="false">C12/(Weapons!$F$2*(1-F12))</f>
        <v>120</v>
      </c>
      <c r="I12" s="21" t="n">
        <f aca="false">C12/Weapons!$F$3</f>
        <v>70</v>
      </c>
      <c r="J12" s="21" t="n">
        <f aca="false">C12/(Weapons!$F$4*(1-F12))</f>
        <v>80</v>
      </c>
    </row>
    <row r="14" customFormat="false" ht="15" hidden="false" customHeight="false" outlineLevel="0" collapsed="false">
      <c r="A14" s="6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26.85" hidden="false" customHeight="false" outlineLevel="0" collapsed="false">
      <c r="A1" s="7" t="s">
        <v>358</v>
      </c>
      <c r="B1" s="7" t="s">
        <v>359</v>
      </c>
      <c r="C1" s="7" t="s">
        <v>360</v>
      </c>
      <c r="D1" s="7" t="s">
        <v>361</v>
      </c>
      <c r="E1" s="7" t="s">
        <v>362</v>
      </c>
      <c r="F1" s="7" t="s">
        <v>363</v>
      </c>
      <c r="G1" s="7" t="s">
        <v>278</v>
      </c>
    </row>
    <row r="2" customFormat="false" ht="15" hidden="false" customHeight="false" outlineLevel="0" collapsed="false">
      <c r="A2" s="2" t="s">
        <v>364</v>
      </c>
      <c r="B2" s="4" t="n">
        <v>0.7</v>
      </c>
      <c r="C2" s="4" t="n">
        <v>5</v>
      </c>
      <c r="D2" s="2" t="n">
        <f aca="false">B2*C2</f>
        <v>3.5</v>
      </c>
      <c r="E2" s="4" t="n">
        <v>1.5</v>
      </c>
      <c r="F2" s="2" t="n">
        <f aca="false">E2+D2</f>
        <v>5</v>
      </c>
      <c r="G2" s="6" t="s">
        <v>365</v>
      </c>
    </row>
    <row r="3" customFormat="false" ht="15" hidden="false" customHeight="false" outlineLevel="0" collapsed="false">
      <c r="A3" s="2" t="s">
        <v>366</v>
      </c>
      <c r="B3" s="4" t="n">
        <v>15</v>
      </c>
      <c r="C3" s="4" t="n">
        <v>5</v>
      </c>
      <c r="D3" s="2" t="n">
        <f aca="false">B3*C3</f>
        <v>75</v>
      </c>
      <c r="E3" s="4" t="n">
        <v>60</v>
      </c>
      <c r="F3" s="2" t="n">
        <f aca="false">E3+D3</f>
        <v>135</v>
      </c>
      <c r="G3" s="6" t="s">
        <v>367</v>
      </c>
    </row>
    <row r="4" customFormat="false" ht="15" hidden="false" customHeight="false" outlineLevel="0" collapsed="false">
      <c r="A4" s="2" t="s">
        <v>368</v>
      </c>
      <c r="B4" s="8" t="n">
        <v>0.06</v>
      </c>
      <c r="C4" s="4" t="n">
        <v>5</v>
      </c>
      <c r="D4" s="22" t="n">
        <f aca="false">B4*C4</f>
        <v>0.3</v>
      </c>
      <c r="E4" s="4" t="n">
        <v>0</v>
      </c>
      <c r="F4" s="22" t="n">
        <f aca="false">E4+D4</f>
        <v>0.3</v>
      </c>
      <c r="G4" s="6" t="s">
        <v>369</v>
      </c>
    </row>
    <row r="5" customFormat="false" ht="15" hidden="false" customHeight="false" outlineLevel="0" collapsed="false">
      <c r="A5" s="2" t="s">
        <v>370</v>
      </c>
      <c r="B5" s="4" t="n">
        <v>0.5</v>
      </c>
      <c r="C5" s="4" t="n">
        <v>5</v>
      </c>
      <c r="D5" s="2" t="n">
        <f aca="false">B5*C5</f>
        <v>2.5</v>
      </c>
      <c r="E5" s="4" t="n">
        <v>0</v>
      </c>
      <c r="F5" s="2" t="n">
        <f aca="false">E5+D5</f>
        <v>2.5</v>
      </c>
      <c r="G5" s="6" t="s">
        <v>371</v>
      </c>
    </row>
    <row r="6" customFormat="false" ht="15" hidden="false" customHeight="false" outlineLevel="0" collapsed="false">
      <c r="A6" s="2" t="s">
        <v>372</v>
      </c>
      <c r="B6" s="8" t="n">
        <v>0.1</v>
      </c>
      <c r="C6" s="4" t="n">
        <v>5</v>
      </c>
      <c r="D6" s="22" t="n">
        <f aca="false">B6*C6</f>
        <v>0.5</v>
      </c>
      <c r="E6" s="4" t="n">
        <v>0</v>
      </c>
      <c r="F6" s="22" t="n">
        <f aca="false">E6+D6</f>
        <v>0.5</v>
      </c>
      <c r="G6" s="6" t="s">
        <v>373</v>
      </c>
    </row>
    <row r="7" customFormat="false" ht="15" hidden="false" customHeight="false" outlineLevel="0" collapsed="false">
      <c r="A7" s="2" t="s">
        <v>374</v>
      </c>
      <c r="B7" s="8" t="n">
        <v>0.08</v>
      </c>
      <c r="C7" s="4" t="n">
        <v>5</v>
      </c>
      <c r="D7" s="22" t="n">
        <f aca="false">B7*C7</f>
        <v>0.4</v>
      </c>
      <c r="E7" s="4" t="n">
        <v>0</v>
      </c>
      <c r="F7" s="22" t="n">
        <f aca="false">E7+D7</f>
        <v>0.4</v>
      </c>
      <c r="G7" s="6" t="s">
        <v>375</v>
      </c>
    </row>
    <row r="8" customFormat="false" ht="15" hidden="false" customHeight="false" outlineLevel="0" collapsed="false">
      <c r="A8" s="2" t="s">
        <v>119</v>
      </c>
      <c r="B8" s="4" t="n">
        <v>1</v>
      </c>
      <c r="C8" s="4" t="n">
        <v>5</v>
      </c>
      <c r="D8" s="2" t="n">
        <f aca="false">B8*C8</f>
        <v>5</v>
      </c>
      <c r="E8" s="4" t="n">
        <v>0</v>
      </c>
      <c r="F8" s="2" t="n">
        <f aca="false">E8+D8</f>
        <v>5</v>
      </c>
      <c r="G8" s="6" t="s">
        <v>376</v>
      </c>
    </row>
    <row r="9" customFormat="false" ht="39.55" hidden="false" customHeight="false" outlineLevel="0" collapsed="false">
      <c r="A9" s="7" t="s">
        <v>377</v>
      </c>
      <c r="B9" s="7" t="s">
        <v>378</v>
      </c>
      <c r="C9" s="7" t="s">
        <v>379</v>
      </c>
      <c r="D9" s="7" t="s">
        <v>380</v>
      </c>
    </row>
    <row r="10" customFormat="false" ht="15" hidden="false" customHeight="false" outlineLevel="0" collapsed="false">
      <c r="A10" s="2" t="n">
        <v>1</v>
      </c>
      <c r="B10" s="11" t="n">
        <v>30</v>
      </c>
      <c r="C10" s="13" t="n">
        <f aca="false">SUM($B$10:B10)</f>
        <v>30</v>
      </c>
      <c r="D10" s="15" t="n">
        <f aca="false">C10/600</f>
        <v>0.05</v>
      </c>
    </row>
    <row r="11" customFormat="false" ht="15" hidden="false" customHeight="false" outlineLevel="0" collapsed="false">
      <c r="A11" s="2" t="n">
        <v>2</v>
      </c>
      <c r="B11" s="11" t="n">
        <v>60</v>
      </c>
      <c r="C11" s="13" t="n">
        <f aca="false">SUM($B$10:B11)</f>
        <v>90</v>
      </c>
      <c r="D11" s="15" t="n">
        <f aca="false">C11/600</f>
        <v>0.15</v>
      </c>
    </row>
    <row r="12" customFormat="false" ht="15" hidden="false" customHeight="false" outlineLevel="0" collapsed="false">
      <c r="A12" s="2" t="n">
        <v>3</v>
      </c>
      <c r="B12" s="11" t="n">
        <v>120</v>
      </c>
      <c r="C12" s="13" t="n">
        <f aca="false">SUM($B$10:B12)</f>
        <v>210</v>
      </c>
      <c r="D12" s="15" t="n">
        <f aca="false">C12/600</f>
        <v>0.35</v>
      </c>
    </row>
    <row r="13" customFormat="false" ht="15" hidden="false" customHeight="false" outlineLevel="0" collapsed="false">
      <c r="A13" s="2" t="n">
        <v>4</v>
      </c>
      <c r="B13" s="11" t="n">
        <v>240</v>
      </c>
      <c r="C13" s="13" t="n">
        <f aca="false">SUM($B$10:B13)</f>
        <v>450</v>
      </c>
      <c r="D13" s="15" t="n">
        <f aca="false">C13/600</f>
        <v>0.75</v>
      </c>
    </row>
    <row r="14" customFormat="false" ht="15" hidden="false" customHeight="false" outlineLevel="0" collapsed="false">
      <c r="A14" s="2" t="n">
        <v>5</v>
      </c>
      <c r="B14" s="11" t="n">
        <v>400</v>
      </c>
      <c r="C14" s="13" t="n">
        <f aca="false">SUM($B$10:B14)</f>
        <v>850</v>
      </c>
      <c r="D14" s="15" t="n">
        <f aca="false">C14/600</f>
        <v>1.41666666666667</v>
      </c>
    </row>
    <row r="16" customFormat="false" ht="15" hidden="false" customHeight="false" outlineLevel="0" collapsed="false">
      <c r="A16" s="6" t="s">
        <v>381</v>
      </c>
      <c r="C16" s="13" t="n">
        <f aca="false">C14*7</f>
        <v>5950</v>
      </c>
      <c r="D16" s="15" t="n">
        <f aca="false">C16/600</f>
        <v>9.91666666666667</v>
      </c>
    </row>
    <row r="18" customFormat="false" ht="15" hidden="false" customHeight="false" outlineLevel="0" collapsed="false">
      <c r="A18" s="6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5" min="3" style="0" width="9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10" min="8" style="0" width="13"/>
  </cols>
  <sheetData>
    <row r="1" customFormat="false" ht="15" hidden="false" customHeight="false" outlineLevel="0" collapsed="false">
      <c r="A1" s="7" t="s">
        <v>383</v>
      </c>
      <c r="B1" s="7" t="s">
        <v>384</v>
      </c>
      <c r="C1" s="7" t="s">
        <v>385</v>
      </c>
      <c r="D1" s="7" t="s">
        <v>386</v>
      </c>
      <c r="E1" s="7" t="s">
        <v>387</v>
      </c>
      <c r="F1" s="7" t="s">
        <v>388</v>
      </c>
      <c r="G1" s="7" t="s">
        <v>389</v>
      </c>
      <c r="H1" s="7" t="s">
        <v>390</v>
      </c>
      <c r="I1" s="7" t="s">
        <v>391</v>
      </c>
      <c r="J1" s="7" t="s">
        <v>392</v>
      </c>
    </row>
    <row r="2" customFormat="false" ht="15" hidden="false" customHeight="false" outlineLevel="0" collapsed="false">
      <c r="A2" s="2" t="s">
        <v>393</v>
      </c>
      <c r="B2" s="4" t="n">
        <v>40</v>
      </c>
      <c r="C2" s="4" t="n">
        <v>70</v>
      </c>
      <c r="D2" s="4" t="n">
        <v>100</v>
      </c>
      <c r="E2" s="4" t="n">
        <v>140</v>
      </c>
      <c r="F2" s="11" t="n">
        <v>60</v>
      </c>
      <c r="G2" s="4" t="n">
        <v>10</v>
      </c>
      <c r="H2" s="13" t="n">
        <f aca="false">ROUND(F2*$B$15^1,0)</f>
        <v>132</v>
      </c>
      <c r="I2" s="13" t="n">
        <f aca="false">ROUND(F2*$B$15^2,0)</f>
        <v>290</v>
      </c>
      <c r="J2" s="13" t="n">
        <f aca="false">ROUND(F2*$B$15^3,0)</f>
        <v>639</v>
      </c>
    </row>
    <row r="3" customFormat="false" ht="15" hidden="false" customHeight="false" outlineLevel="0" collapsed="false">
      <c r="A3" s="2" t="s">
        <v>394</v>
      </c>
      <c r="B3" s="4" t="n">
        <v>8</v>
      </c>
      <c r="C3" s="4" t="n">
        <v>10</v>
      </c>
      <c r="D3" s="4" t="n">
        <v>12</v>
      </c>
      <c r="E3" s="4" t="n">
        <v>14</v>
      </c>
      <c r="F3" s="11" t="n">
        <v>80</v>
      </c>
      <c r="G3" s="4" t="n">
        <v>10</v>
      </c>
      <c r="H3" s="13" t="n">
        <f aca="false">ROUND(F3*$B$15^1,0)</f>
        <v>176</v>
      </c>
      <c r="I3" s="13" t="n">
        <f aca="false">ROUND(F3*$B$15^2,0)</f>
        <v>387</v>
      </c>
      <c r="J3" s="13" t="n">
        <f aca="false">ROUND(F3*$B$15^3,0)</f>
        <v>852</v>
      </c>
    </row>
    <row r="4" customFormat="false" ht="15" hidden="false" customHeight="false" outlineLevel="0" collapsed="false">
      <c r="A4" s="2" t="s">
        <v>395</v>
      </c>
      <c r="B4" s="4" t="n">
        <v>6</v>
      </c>
      <c r="C4" s="4" t="n">
        <v>10</v>
      </c>
      <c r="D4" s="4" t="n">
        <v>14</v>
      </c>
      <c r="E4" s="4" t="n">
        <v>18</v>
      </c>
      <c r="F4" s="11" t="n">
        <v>70</v>
      </c>
      <c r="G4" s="4" t="n">
        <v>15</v>
      </c>
      <c r="H4" s="13" t="n">
        <f aca="false">ROUND(F4*$B$15^1,0)</f>
        <v>154</v>
      </c>
      <c r="I4" s="13" t="n">
        <f aca="false">ROUND(F4*$B$15^2,0)</f>
        <v>339</v>
      </c>
      <c r="J4" s="13" t="n">
        <f aca="false">ROUND(F4*$B$15^3,0)</f>
        <v>745</v>
      </c>
    </row>
    <row r="5" customFormat="false" ht="15" hidden="false" customHeight="false" outlineLevel="0" collapsed="false">
      <c r="A5" s="2" t="s">
        <v>396</v>
      </c>
      <c r="B5" s="4" t="n">
        <v>4</v>
      </c>
      <c r="C5" s="4" t="n">
        <v>6</v>
      </c>
      <c r="D5" s="4" t="n">
        <v>8</v>
      </c>
      <c r="E5" s="4" t="n">
        <v>10</v>
      </c>
      <c r="F5" s="11" t="n">
        <v>70</v>
      </c>
      <c r="G5" s="4" t="n">
        <v>15</v>
      </c>
      <c r="H5" s="13" t="n">
        <f aca="false">ROUND(F5*$B$15^1,0)</f>
        <v>154</v>
      </c>
      <c r="I5" s="13" t="n">
        <f aca="false">ROUND(F5*$B$15^2,0)</f>
        <v>339</v>
      </c>
      <c r="J5" s="13" t="n">
        <f aca="false">ROUND(F5*$B$15^3,0)</f>
        <v>745</v>
      </c>
    </row>
    <row r="6" customFormat="false" ht="15" hidden="false" customHeight="false" outlineLevel="0" collapsed="false">
      <c r="A6" s="2" t="s">
        <v>397</v>
      </c>
      <c r="B6" s="4" t="n">
        <v>15</v>
      </c>
      <c r="C6" s="4" t="n">
        <v>25</v>
      </c>
      <c r="D6" s="4" t="n">
        <v>35</v>
      </c>
      <c r="E6" s="4" t="n">
        <v>50</v>
      </c>
      <c r="F6" s="11" t="n">
        <v>90</v>
      </c>
      <c r="G6" s="4" t="n">
        <v>10</v>
      </c>
      <c r="H6" s="13" t="n">
        <f aca="false">ROUND(F6*$B$15^1,0)</f>
        <v>198</v>
      </c>
      <c r="I6" s="13" t="n">
        <f aca="false">ROUND(F6*$B$15^2,0)</f>
        <v>436</v>
      </c>
      <c r="J6" s="13" t="n">
        <f aca="false">ROUND(F6*$B$15^3,0)</f>
        <v>958</v>
      </c>
    </row>
    <row r="7" customFormat="false" ht="15" hidden="false" customHeight="false" outlineLevel="0" collapsed="false">
      <c r="A7" s="2" t="s">
        <v>398</v>
      </c>
      <c r="B7" s="4" t="n">
        <v>2</v>
      </c>
      <c r="C7" s="4" t="n">
        <v>3</v>
      </c>
      <c r="D7" s="4" t="n">
        <v>4</v>
      </c>
      <c r="E7" s="4" t="n">
        <v>5</v>
      </c>
      <c r="F7" s="11" t="n">
        <v>80</v>
      </c>
      <c r="G7" s="4" t="n">
        <v>15</v>
      </c>
      <c r="H7" s="13" t="n">
        <f aca="false">ROUND(F7*$B$15^1,0)</f>
        <v>176</v>
      </c>
      <c r="I7" s="13" t="n">
        <f aca="false">ROUND(F7*$B$15^2,0)</f>
        <v>387</v>
      </c>
      <c r="J7" s="13" t="n">
        <f aca="false">ROUND(F7*$B$15^3,0)</f>
        <v>852</v>
      </c>
    </row>
    <row r="8" customFormat="false" ht="15" hidden="false" customHeight="false" outlineLevel="0" collapsed="false">
      <c r="A8" s="2" t="s">
        <v>399</v>
      </c>
      <c r="B8" s="4" t="n">
        <v>150</v>
      </c>
      <c r="C8" s="4" t="n">
        <v>400</v>
      </c>
      <c r="D8" s="4" t="n">
        <v>800</v>
      </c>
      <c r="E8" s="4" t="n">
        <v>1500</v>
      </c>
      <c r="F8" s="11" t="n">
        <v>60</v>
      </c>
      <c r="G8" s="4" t="n">
        <v>10</v>
      </c>
      <c r="H8" s="13" t="n">
        <f aca="false">ROUND(F8*$B$15^1,0)</f>
        <v>132</v>
      </c>
      <c r="I8" s="13" t="n">
        <f aca="false">ROUND(F8*$B$15^2,0)</f>
        <v>290</v>
      </c>
      <c r="J8" s="13" t="n">
        <f aca="false">ROUND(F8*$B$15^3,0)</f>
        <v>639</v>
      </c>
    </row>
    <row r="9" customFormat="false" ht="15" hidden="false" customHeight="false" outlineLevel="0" collapsed="false">
      <c r="A9" s="2" t="s">
        <v>400</v>
      </c>
      <c r="B9" s="4" t="n">
        <v>1</v>
      </c>
      <c r="C9" s="4" t="n">
        <v>1</v>
      </c>
      <c r="D9" s="4" t="n">
        <v>2</v>
      </c>
      <c r="E9" s="4" t="n">
        <v>2</v>
      </c>
      <c r="F9" s="11" t="n">
        <v>100</v>
      </c>
      <c r="G9" s="4" t="n">
        <v>20</v>
      </c>
      <c r="H9" s="13" t="n">
        <f aca="false">ROUND(F9*$B$15^1,0)</f>
        <v>220</v>
      </c>
      <c r="I9" s="13" t="n">
        <f aca="false">ROUND(F9*$B$15^2,0)</f>
        <v>484</v>
      </c>
      <c r="J9" s="13" t="n">
        <f aca="false">ROUND(F9*$B$15^3,0)</f>
        <v>1065</v>
      </c>
    </row>
    <row r="10" customFormat="false" ht="15" hidden="false" customHeight="false" outlineLevel="0" collapsed="false">
      <c r="A10" s="2" t="s">
        <v>401</v>
      </c>
      <c r="B10" s="4" t="n">
        <v>20</v>
      </c>
      <c r="C10" s="4" t="n">
        <v>30</v>
      </c>
      <c r="D10" s="4" t="n">
        <v>40</v>
      </c>
      <c r="E10" s="4" t="n">
        <v>50</v>
      </c>
      <c r="F10" s="11" t="n">
        <v>80</v>
      </c>
      <c r="G10" s="4" t="n">
        <v>15</v>
      </c>
      <c r="H10" s="13" t="n">
        <f aca="false">ROUND(F10*$B$15^1,0)</f>
        <v>176</v>
      </c>
      <c r="I10" s="13" t="n">
        <f aca="false">ROUND(F10*$B$15^2,0)</f>
        <v>387</v>
      </c>
      <c r="J10" s="13" t="n">
        <f aca="false">ROUND(F10*$B$15^3,0)</f>
        <v>852</v>
      </c>
    </row>
    <row r="11" customFormat="false" ht="15" hidden="false" customHeight="false" outlineLevel="0" collapsed="false">
      <c r="A11" s="2" t="s">
        <v>402</v>
      </c>
      <c r="B11" s="4" t="n">
        <v>2</v>
      </c>
      <c r="C11" s="4" t="n">
        <v>3</v>
      </c>
      <c r="D11" s="4" t="n">
        <v>4</v>
      </c>
      <c r="E11" s="4" t="n">
        <v>5</v>
      </c>
      <c r="F11" s="11" t="n">
        <v>70</v>
      </c>
      <c r="G11" s="4" t="n">
        <v>10</v>
      </c>
      <c r="H11" s="13" t="n">
        <f aca="false">ROUND(F11*$B$15^1,0)</f>
        <v>154</v>
      </c>
      <c r="I11" s="13" t="n">
        <f aca="false">ROUND(F11*$B$15^2,0)</f>
        <v>339</v>
      </c>
      <c r="J11" s="13" t="n">
        <f aca="false">ROUND(F11*$B$15^3,0)</f>
        <v>745</v>
      </c>
    </row>
    <row r="12" customFormat="false" ht="15" hidden="false" customHeight="false" outlineLevel="0" collapsed="false">
      <c r="A12" s="2" t="s">
        <v>403</v>
      </c>
      <c r="B12" s="4"/>
      <c r="C12" s="4"/>
      <c r="D12" s="4"/>
      <c r="E12" s="4"/>
      <c r="F12" s="11" t="n">
        <v>150</v>
      </c>
      <c r="G12" s="4" t="n">
        <v>40</v>
      </c>
      <c r="H12" s="13" t="n">
        <f aca="false">ROUND(F12*$B$15^1,0)</f>
        <v>330</v>
      </c>
      <c r="I12" s="13" t="n">
        <f aca="false">ROUND(F12*$B$15^2,0)</f>
        <v>726</v>
      </c>
      <c r="J12" s="13" t="n">
        <f aca="false">ROUND(F12*$B$15^3,0)</f>
        <v>1597</v>
      </c>
    </row>
    <row r="15" customFormat="false" ht="15" hidden="false" customHeight="false" outlineLevel="0" collapsed="false">
      <c r="A15" s="2" t="s">
        <v>404</v>
      </c>
      <c r="B15" s="23" t="n">
        <v>2.2</v>
      </c>
    </row>
    <row r="16" customFormat="false" ht="15" hidden="false" customHeight="false" outlineLevel="0" collapsed="false">
      <c r="A16" s="6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2026-10-18T04:10:06Z</dcterms:created>
  <dc:creator>openpyxl</dc:creator>
  <dc:description/>
  <dc:language>en-US</dc:language>
  <cp:lastModifiedBy/>
  <dcterms:modified xsi:type="dcterms:W3CDTF">2026-10-18T04:10:06Z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