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<sst xmlns="http://schemas.openxmlformats.org/spreadsheetml/2006/main" count="320" uniqueCount="234">
  <si>
    <t xml:space="preserve">Bolt &amp; Burrow — balancing sheet (v0.8.1)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</si>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</sst>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6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18</v>
      </c>
      <c r="B1" s="7" t="s">
        <v>19</v>
      </c>
      <c r="C1" s="7" t="s">
        <v>20</v>
      </c>
    </row>
    <row r="2" customFormat="false" ht="15" hidden="false" customHeight="false" outlineLevel="0" collapsed="false">
      <c r="A2" s="2" t="s">
        <v>21</v>
      </c>
      <c r="B2" s="4" t="n">
        <v>4</v>
      </c>
      <c r="C2" s="6" t="s">
        <v>22</v>
      </c>
    </row>
    <row r="3" customFormat="false" ht="15" hidden="false" customHeight="false" outlineLevel="0" collapsed="false">
      <c r="A3" s="2" t="s">
        <v>23</v>
      </c>
      <c r="B3" s="4" t="n">
        <v>0.5</v>
      </c>
      <c r="C3" s="6" t="s">
        <v>24</v>
      </c>
    </row>
    <row r="4" customFormat="false" ht="15" hidden="false" customHeight="false" outlineLevel="0" collapsed="false">
      <c r="A4" s="2" t="s">
        <v>25</v>
      </c>
      <c r="B4" s="4" t="n">
        <v>1.2</v>
      </c>
      <c r="C4" s="6" t="s">
        <v>26</v>
      </c>
    </row>
    <row r="5" customFormat="false" ht="15" hidden="false" customHeight="false" outlineLevel="0" collapsed="false">
      <c r="A5" s="2" t="s">
        <v>27</v>
      </c>
      <c r="B5" s="4" t="n">
        <v>45</v>
      </c>
      <c r="C5" s="6" t="s">
        <v>28</v>
      </c>
    </row>
    <row r="6" customFormat="false" ht="15" hidden="false" customHeight="false" outlineLevel="0" collapsed="false">
      <c r="A6" s="2" t="s">
        <v>29</v>
      </c>
      <c r="B6" s="4" t="n">
        <v>25</v>
      </c>
      <c r="C6" s="6" t="s">
        <v>30</v>
      </c>
    </row>
    <row r="7" customFormat="false" ht="15" hidden="false" customHeight="false" outlineLevel="0" collapsed="false">
      <c r="A7" s="2" t="s">
        <v>31</v>
      </c>
      <c r="B7" s="4" t="n">
        <v>80</v>
      </c>
      <c r="C7" s="6" t="s">
        <v>32</v>
      </c>
    </row>
    <row r="8" customFormat="false" ht="15" hidden="false" customHeight="false" outlineLevel="0" collapsed="false">
      <c r="A8" s="2" t="s">
        <v>33</v>
      </c>
      <c r="B8" s="4" t="n">
        <v>2.5</v>
      </c>
      <c r="C8" s="6" t="s">
        <v>34</v>
      </c>
    </row>
    <row r="9" customFormat="false" ht="15" hidden="false" customHeight="false" outlineLevel="0" collapsed="false">
      <c r="A9" s="2" t="s">
        <v>35</v>
      </c>
      <c r="B9" s="4" t="n">
        <v>60</v>
      </c>
      <c r="C9" s="6" t="s">
        <v>36</v>
      </c>
    </row>
    <row r="10" customFormat="false" ht="15" hidden="false" customHeight="false" outlineLevel="0" collapsed="false">
      <c r="A10" s="2" t="s">
        <v>37</v>
      </c>
      <c r="B10" s="4" t="n">
        <v>160</v>
      </c>
      <c r="C10" s="6" t="s">
        <v>38</v>
      </c>
    </row>
    <row r="11" customFormat="false" ht="15" hidden="false" customHeight="false" outlineLevel="0" collapsed="false">
      <c r="A11" s="2" t="s">
        <v>39</v>
      </c>
      <c r="B11" s="4" t="n">
        <v>2</v>
      </c>
      <c r="C11" s="6" t="s">
        <v>40</v>
      </c>
    </row>
    <row r="12" customFormat="false" ht="15" hidden="false" customHeight="false" outlineLevel="0" collapsed="false">
      <c r="A12" s="2" t="s">
        <v>41</v>
      </c>
      <c r="B12" s="4" t="n">
        <v>4</v>
      </c>
      <c r="C12" s="6" t="s">
        <v>42</v>
      </c>
    </row>
    <row r="13" customFormat="false" ht="15" hidden="false" customHeight="false" outlineLevel="0" collapsed="false">
      <c r="A13" s="2" t="s">
        <v>43</v>
      </c>
      <c r="B13" s="4" t="n">
        <v>54</v>
      </c>
      <c r="C13" s="6" t="s">
        <v>44</v>
      </c>
    </row>
    <row r="14" customFormat="false" ht="15" hidden="false" customHeight="false" outlineLevel="0" collapsed="false">
      <c r="A14" s="2" t="s">
        <v>45</v>
      </c>
      <c r="B14" s="8" t="n">
        <v>0.5</v>
      </c>
      <c r="C14" s="6" t="s">
        <v>46</v>
      </c>
    </row>
    <row r="15" customFormat="false" ht="15" hidden="false" customHeight="false" outlineLevel="0" collapsed="false">
      <c r="A15" s="2" t="s">
        <v>47</v>
      </c>
      <c r="B15" s="4" t="n">
        <v>0.4</v>
      </c>
      <c r="C15" s="6" t="s">
        <v>48</v>
      </c>
    </row>
    <row r="16" customFormat="false" ht="15" hidden="false" customHeight="false" outlineLevel="0" collapsed="false">
      <c r="A16" s="2" t="s">
        <v>49</v>
      </c>
      <c r="B16" s="4" t="n">
        <v>1.8</v>
      </c>
      <c r="C16" s="6" t="s">
        <v>50</v>
      </c>
    </row>
    <row r="17" customFormat="false" ht="15" hidden="false" customHeight="false" outlineLevel="0" collapsed="false">
      <c r="A17" s="2" t="s">
        <v>51</v>
      </c>
      <c r="B17" s="8" t="n">
        <v>0.25</v>
      </c>
      <c r="C17" s="6" t="s">
        <v>52</v>
      </c>
    </row>
    <row r="18" customFormat="false" ht="15" hidden="false" customHeight="false" outlineLevel="0" collapsed="false">
      <c r="A18" s="2" t="s">
        <v>53</v>
      </c>
      <c r="B18" s="8" t="n">
        <v>0.3</v>
      </c>
      <c r="C18" s="6" t="s">
        <v>54</v>
      </c>
    </row>
    <row r="19" customFormat="false" ht="15" hidden="false" customHeight="false" outlineLevel="0" collapsed="false">
      <c r="A19" s="2" t="s">
        <v>55</v>
      </c>
      <c r="B19" s="4" t="n">
        <v>10</v>
      </c>
      <c r="C19" s="6" t="s">
        <v>56</v>
      </c>
    </row>
    <row r="20" customFormat="false" ht="15" hidden="false" customHeight="false" outlineLevel="0" collapsed="false">
      <c r="A20" s="2" t="s">
        <v>57</v>
      </c>
      <c r="B20" s="4" t="n">
        <v>8</v>
      </c>
      <c r="C20" s="6" t="s">
        <v>58</v>
      </c>
    </row>
    <row r="21" customFormat="false" ht="15" hidden="false" customHeight="false" outlineLevel="0" collapsed="false">
      <c r="A21" s="2" t="s">
        <v>59</v>
      </c>
      <c r="B21" s="4" t="n">
        <v>25</v>
      </c>
      <c r="C21" s="6" t="s">
        <v>60</v>
      </c>
    </row>
    <row r="22" customFormat="false" ht="15" hidden="false" customHeight="false" outlineLevel="0" collapsed="false">
      <c r="A22" s="2" t="s">
        <v>61</v>
      </c>
      <c r="B22" s="4" t="n">
        <v>75</v>
      </c>
      <c r="C22" s="6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</row>
    <row r="2" customFormat="false" ht="15" hidden="false" customHeight="false" outlineLevel="0" collapsed="false">
      <c r="A2" s="2" t="n">
        <v>1</v>
      </c>
      <c r="B2" s="2" t="s">
        <v>82</v>
      </c>
      <c r="C2" s="9" t="n">
        <v>1</v>
      </c>
      <c r="D2" s="2" t="s">
        <v>83</v>
      </c>
      <c r="E2" s="10" t="n">
        <v>0.06</v>
      </c>
      <c r="F2" s="2" t="s">
        <v>84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85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86</v>
      </c>
    </row>
    <row r="3" customFormat="false" ht="15" hidden="false" customHeight="false" outlineLevel="0" collapsed="false">
      <c r="A3" s="2" t="n">
        <v>2</v>
      </c>
      <c r="B3" s="2" t="s">
        <v>87</v>
      </c>
      <c r="C3" s="9" t="n">
        <v>1.5</v>
      </c>
      <c r="D3" s="2" t="s">
        <v>84</v>
      </c>
      <c r="E3" s="10" t="n">
        <v>0.05</v>
      </c>
      <c r="F3" s="2" t="s">
        <v>88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89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90</v>
      </c>
    </row>
    <row r="4" customFormat="false" ht="15" hidden="false" customHeight="false" outlineLevel="0" collapsed="false">
      <c r="A4" s="2" t="n">
        <v>3</v>
      </c>
      <c r="B4" s="2" t="s">
        <v>91</v>
      </c>
      <c r="C4" s="9" t="n">
        <v>2</v>
      </c>
      <c r="D4" s="2" t="s">
        <v>88</v>
      </c>
      <c r="E4" s="10" t="n">
        <v>0.05</v>
      </c>
      <c r="F4" s="2" t="s">
        <v>92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93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94</v>
      </c>
    </row>
    <row r="6" customFormat="false" ht="15" hidden="false" customHeight="false" outlineLevel="0" collapsed="false">
      <c r="A6" s="6" t="s">
        <v>95</v>
      </c>
    </row>
    <row r="7" customFormat="false" ht="15" hidden="false" customHeight="false" outlineLevel="0" collapsed="false">
      <c r="A7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97</v>
      </c>
      <c r="B1" s="7" t="s">
        <v>98</v>
      </c>
      <c r="C1" s="7" t="s">
        <v>99</v>
      </c>
      <c r="D1" s="7" t="s">
        <v>100</v>
      </c>
      <c r="E1" s="7" t="s">
        <v>101</v>
      </c>
      <c r="F1" s="7" t="s">
        <v>19</v>
      </c>
      <c r="G1" s="7" t="s">
        <v>102</v>
      </c>
      <c r="H1" s="7" t="s">
        <v>19</v>
      </c>
      <c r="I1" s="7" t="s">
        <v>103</v>
      </c>
    </row>
    <row r="2" customFormat="false" ht="15" hidden="false" customHeight="false" outlineLevel="0" collapsed="false">
      <c r="A2" s="2" t="s">
        <v>104</v>
      </c>
      <c r="B2" s="2" t="n">
        <v>1</v>
      </c>
      <c r="C2" s="2" t="s">
        <v>105</v>
      </c>
      <c r="D2" s="11" t="n">
        <v>0</v>
      </c>
      <c r="E2" s="2" t="s">
        <v>106</v>
      </c>
      <c r="F2" s="4" t="n">
        <v>2.5</v>
      </c>
      <c r="G2" s="2" t="s">
        <v>107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104</v>
      </c>
      <c r="B3" s="2" t="n">
        <v>2</v>
      </c>
      <c r="C3" s="2" t="s">
        <v>108</v>
      </c>
      <c r="D3" s="11" t="n">
        <v>120</v>
      </c>
      <c r="E3" s="2" t="s">
        <v>106</v>
      </c>
      <c r="F3" s="4" t="n">
        <v>4</v>
      </c>
      <c r="G3" s="2" t="s">
        <v>107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104</v>
      </c>
      <c r="B4" s="2" t="n">
        <v>3</v>
      </c>
      <c r="C4" s="2" t="s">
        <v>109</v>
      </c>
      <c r="D4" s="11" t="n">
        <v>1000</v>
      </c>
      <c r="E4" s="2" t="s">
        <v>106</v>
      </c>
      <c r="F4" s="4" t="n">
        <v>6</v>
      </c>
      <c r="G4" s="2" t="s">
        <v>107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110</v>
      </c>
      <c r="B5" s="2" t="n">
        <v>1</v>
      </c>
      <c r="C5" s="2" t="s">
        <v>111</v>
      </c>
      <c r="D5" s="11" t="n">
        <v>0</v>
      </c>
      <c r="E5" s="2" t="s">
        <v>112</v>
      </c>
      <c r="F5" s="4" t="n">
        <v>1</v>
      </c>
      <c r="G5" s="2" t="s">
        <v>113</v>
      </c>
      <c r="H5" s="2" t="s">
        <v>114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110</v>
      </c>
      <c r="B6" s="2" t="n">
        <v>2</v>
      </c>
      <c r="C6" s="2" t="s">
        <v>115</v>
      </c>
      <c r="D6" s="11" t="n">
        <v>60</v>
      </c>
      <c r="E6" s="2" t="s">
        <v>112</v>
      </c>
      <c r="F6" s="4" t="n">
        <v>3</v>
      </c>
      <c r="G6" s="2" t="s">
        <v>113</v>
      </c>
      <c r="H6" s="2" t="s">
        <v>116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110</v>
      </c>
      <c r="B7" s="2" t="n">
        <v>3</v>
      </c>
      <c r="C7" s="2" t="s">
        <v>117</v>
      </c>
      <c r="D7" s="11" t="n">
        <v>900</v>
      </c>
      <c r="E7" s="2" t="s">
        <v>112</v>
      </c>
      <c r="F7" s="4" t="n">
        <v>8</v>
      </c>
      <c r="G7" s="2" t="s">
        <v>113</v>
      </c>
      <c r="H7" s="2" t="s">
        <v>118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119</v>
      </c>
      <c r="B8" s="2" t="n">
        <v>1</v>
      </c>
      <c r="C8" s="2" t="s">
        <v>120</v>
      </c>
      <c r="D8" s="11" t="n">
        <v>0</v>
      </c>
      <c r="E8" s="2" t="s">
        <v>121</v>
      </c>
      <c r="F8" s="4" t="n">
        <v>80</v>
      </c>
      <c r="G8" s="2" t="s">
        <v>122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119</v>
      </c>
      <c r="B9" s="2" t="n">
        <v>2</v>
      </c>
      <c r="C9" s="2" t="s">
        <v>123</v>
      </c>
      <c r="D9" s="11" t="n">
        <v>150</v>
      </c>
      <c r="E9" s="2" t="s">
        <v>121</v>
      </c>
      <c r="F9" s="4" t="n">
        <v>140</v>
      </c>
      <c r="G9" s="2" t="s">
        <v>122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119</v>
      </c>
      <c r="B10" s="2" t="n">
        <v>3</v>
      </c>
      <c r="C10" s="2" t="s">
        <v>124</v>
      </c>
      <c r="D10" s="11" t="n">
        <v>1400</v>
      </c>
      <c r="E10" s="2" t="s">
        <v>121</v>
      </c>
      <c r="F10" s="4" t="n">
        <v>240</v>
      </c>
      <c r="G10" s="2" t="s">
        <v>122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125</v>
      </c>
      <c r="B11" s="2" t="n">
        <v>1</v>
      </c>
      <c r="C11" s="2" t="s">
        <v>126</v>
      </c>
      <c r="D11" s="11" t="n">
        <v>0</v>
      </c>
      <c r="E11" s="2" t="s">
        <v>127</v>
      </c>
      <c r="F11" s="4" t="n">
        <v>4</v>
      </c>
      <c r="G11" s="2" t="s">
        <v>128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125</v>
      </c>
      <c r="B12" s="2" t="n">
        <v>2</v>
      </c>
      <c r="C12" s="2" t="s">
        <v>129</v>
      </c>
      <c r="D12" s="11" t="n">
        <v>90</v>
      </c>
      <c r="E12" s="2" t="s">
        <v>127</v>
      </c>
      <c r="F12" s="4" t="n">
        <v>5.5</v>
      </c>
      <c r="G12" s="2" t="s">
        <v>128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125</v>
      </c>
      <c r="B13" s="2" t="n">
        <v>3</v>
      </c>
      <c r="C13" s="2" t="s">
        <v>130</v>
      </c>
      <c r="D13" s="11" t="n">
        <v>1200</v>
      </c>
      <c r="E13" s="2" t="s">
        <v>127</v>
      </c>
      <c r="F13" s="4" t="n">
        <v>7</v>
      </c>
      <c r="G13" s="2" t="s">
        <v>128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131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132</v>
      </c>
      <c r="B1" s="7" t="s">
        <v>133</v>
      </c>
      <c r="C1" s="7" t="s">
        <v>134</v>
      </c>
      <c r="D1" s="7" t="s">
        <v>135</v>
      </c>
      <c r="E1" s="7" t="s">
        <v>136</v>
      </c>
      <c r="F1" s="7" t="s">
        <v>137</v>
      </c>
    </row>
    <row r="2" customFormat="false" ht="15" hidden="false" customHeight="false" outlineLevel="0" collapsed="false">
      <c r="A2" s="2" t="s">
        <v>138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139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140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141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142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143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144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145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146</v>
      </c>
    </row>
    <row r="12" customFormat="false" ht="26.85" hidden="false" customHeight="false" outlineLevel="0" collapsed="false">
      <c r="A12" s="7" t="s">
        <v>147</v>
      </c>
      <c r="B12" s="7" t="s">
        <v>148</v>
      </c>
      <c r="C12" s="7" t="s">
        <v>111</v>
      </c>
      <c r="D12" s="7" t="s">
        <v>115</v>
      </c>
      <c r="E12" s="7" t="s">
        <v>117</v>
      </c>
    </row>
    <row r="13" customFormat="false" ht="15" hidden="false" customHeight="false" outlineLevel="0" collapsed="false">
      <c r="A13" s="2" t="s">
        <v>149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150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151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153</v>
      </c>
      <c r="B1" s="7" t="s">
        <v>154</v>
      </c>
    </row>
    <row r="2" customFormat="false" ht="15" hidden="false" customHeight="false" outlineLevel="0" collapsed="false">
      <c r="A2" s="2" t="s">
        <v>155</v>
      </c>
      <c r="B2" s="4" t="n">
        <v>9</v>
      </c>
    </row>
    <row r="3" customFormat="false" ht="15" hidden="false" customHeight="false" outlineLevel="0" collapsed="false">
      <c r="A3" s="2" t="s">
        <v>156</v>
      </c>
      <c r="B3" s="4" t="n">
        <v>24</v>
      </c>
    </row>
    <row r="4" customFormat="false" ht="15" hidden="false" customHeight="false" outlineLevel="0" collapsed="false">
      <c r="A4" s="2" t="s">
        <v>157</v>
      </c>
      <c r="B4" s="4" t="n">
        <v>68</v>
      </c>
    </row>
    <row r="5" customFormat="false" ht="15" hidden="false" customHeight="false" outlineLevel="0" collapsed="false">
      <c r="A5" s="2" t="s">
        <v>158</v>
      </c>
      <c r="B5" s="4" t="n">
        <v>165</v>
      </c>
    </row>
    <row r="7" customFormat="false" ht="26.85" hidden="false" customHeight="false" outlineLevel="0" collapsed="false">
      <c r="A7" s="7" t="s">
        <v>159</v>
      </c>
      <c r="B7" s="7" t="s">
        <v>155</v>
      </c>
      <c r="C7" s="7" t="s">
        <v>156</v>
      </c>
      <c r="D7" s="7" t="s">
        <v>157</v>
      </c>
      <c r="E7" s="7" t="s">
        <v>158</v>
      </c>
      <c r="F7" s="7" t="s">
        <v>160</v>
      </c>
      <c r="G7" s="7" t="s">
        <v>154</v>
      </c>
      <c r="H7" s="7" t="s">
        <v>161</v>
      </c>
      <c r="I7" s="7" t="s">
        <v>162</v>
      </c>
    </row>
    <row r="8" customFormat="false" ht="15" hidden="false" customHeight="false" outlineLevel="0" collapsed="false">
      <c r="A8" s="2" t="s">
        <v>163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164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165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166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168</v>
      </c>
      <c r="B1" s="7" t="s">
        <v>169</v>
      </c>
      <c r="C1" s="7" t="s">
        <v>170</v>
      </c>
      <c r="D1" s="7" t="s">
        <v>163</v>
      </c>
      <c r="E1" s="7" t="s">
        <v>164</v>
      </c>
      <c r="F1" s="7" t="s">
        <v>165</v>
      </c>
      <c r="G1" s="7" t="s">
        <v>166</v>
      </c>
      <c r="H1" s="7" t="s">
        <v>171</v>
      </c>
      <c r="I1" s="7" t="s">
        <v>172</v>
      </c>
      <c r="J1" s="7" t="s">
        <v>173</v>
      </c>
      <c r="K1" s="7" t="s">
        <v>174</v>
      </c>
      <c r="L1" s="7" t="s">
        <v>175</v>
      </c>
      <c r="M1" s="7" t="s">
        <v>176</v>
      </c>
      <c r="N1" s="7" t="s">
        <v>177</v>
      </c>
      <c r="O1" s="7" t="s">
        <v>178</v>
      </c>
      <c r="P1" s="7" t="s">
        <v>179</v>
      </c>
    </row>
    <row r="2" customFormat="false" ht="15" hidden="false" customHeight="false" outlineLevel="0" collapsed="false">
      <c r="A2" s="2" t="s">
        <v>180</v>
      </c>
      <c r="B2" s="2" t="s">
        <v>181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182</v>
      </c>
    </row>
    <row r="3" customFormat="false" ht="15" hidden="false" customHeight="false" outlineLevel="0" collapsed="false">
      <c r="A3" s="2" t="s">
        <v>183</v>
      </c>
      <c r="B3" s="2" t="s">
        <v>181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182</v>
      </c>
    </row>
    <row r="4" customFormat="false" ht="15" hidden="false" customHeight="false" outlineLevel="0" collapsed="false">
      <c r="A4" s="2" t="s">
        <v>184</v>
      </c>
      <c r="B4" s="2" t="s">
        <v>181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182</v>
      </c>
    </row>
    <row r="5" customFormat="false" ht="15" hidden="false" customHeight="false" outlineLevel="0" collapsed="false">
      <c r="A5" s="2" t="s">
        <v>185</v>
      </c>
      <c r="B5" s="2" t="s">
        <v>181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182</v>
      </c>
    </row>
    <row r="6" customFormat="false" ht="15" hidden="false" customHeight="false" outlineLevel="0" collapsed="false">
      <c r="A6" s="2" t="s">
        <v>186</v>
      </c>
      <c r="B6" s="2" t="s">
        <v>187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188</v>
      </c>
    </row>
    <row r="7" customFormat="false" ht="15" hidden="false" customHeight="false" outlineLevel="0" collapsed="false">
      <c r="A7" s="2" t="s">
        <v>189</v>
      </c>
      <c r="B7" s="2" t="s">
        <v>187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188</v>
      </c>
    </row>
    <row r="8" customFormat="false" ht="15" hidden="false" customHeight="false" outlineLevel="0" collapsed="false">
      <c r="A8" s="2" t="s">
        <v>190</v>
      </c>
      <c r="B8" s="2" t="s">
        <v>191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192</v>
      </c>
    </row>
    <row r="9" customFormat="false" ht="15" hidden="false" customHeight="false" outlineLevel="0" collapsed="false">
      <c r="A9" s="2" t="s">
        <v>193</v>
      </c>
      <c r="B9" s="2" t="s">
        <v>194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192</v>
      </c>
    </row>
    <row r="10" customFormat="false" ht="15" hidden="false" customHeight="false" outlineLevel="0" collapsed="false">
      <c r="A10" s="2" t="s">
        <v>195</v>
      </c>
      <c r="B10" s="2" t="s">
        <v>196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192</v>
      </c>
    </row>
    <row r="12" customFormat="false" ht="15" hidden="false" customHeight="false" outlineLevel="0" collapsed="false">
      <c r="A12" s="6" t="s">
        <v>197</v>
      </c>
    </row>
    <row r="13" customFormat="false" ht="15" hidden="false" customHeight="false" outlineLevel="0" collapsed="false">
      <c r="A13" s="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132</v>
      </c>
      <c r="B1" s="7" t="s">
        <v>137</v>
      </c>
      <c r="C1" s="7" t="s">
        <v>199</v>
      </c>
      <c r="D1" s="7" t="s">
        <v>200</v>
      </c>
      <c r="E1" s="7" t="s">
        <v>201</v>
      </c>
      <c r="F1" s="7" t="s">
        <v>202</v>
      </c>
    </row>
    <row r="2" customFormat="false" ht="15" hidden="false" customHeight="false" outlineLevel="0" collapsed="false">
      <c r="A2" s="2" t="s">
        <v>138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139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140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141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144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203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155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156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157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158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204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142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143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75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119</v>
      </c>
      <c r="B1" s="7" t="s">
        <v>121</v>
      </c>
      <c r="C1" s="7" t="s">
        <v>125</v>
      </c>
      <c r="D1" s="7" t="s">
        <v>128</v>
      </c>
      <c r="E1" s="7" t="s">
        <v>206</v>
      </c>
      <c r="F1" s="7" t="s">
        <v>207</v>
      </c>
      <c r="G1" s="7" t="s">
        <v>208</v>
      </c>
    </row>
    <row r="2" customFormat="false" ht="15" hidden="false" customHeight="false" outlineLevel="0" collapsed="false">
      <c r="A2" s="2" t="s">
        <v>120</v>
      </c>
      <c r="B2" s="5" t="n">
        <f aca="false">Parts!$F$8</f>
        <v>80</v>
      </c>
      <c r="C2" s="2" t="s">
        <v>126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120</v>
      </c>
      <c r="B3" s="5" t="n">
        <f aca="false">Parts!$F$8</f>
        <v>80</v>
      </c>
      <c r="C3" s="2" t="s">
        <v>129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120</v>
      </c>
      <c r="B4" s="5" t="n">
        <f aca="false">Parts!$F$8</f>
        <v>80</v>
      </c>
      <c r="C4" s="2" t="s">
        <v>130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123</v>
      </c>
      <c r="B5" s="5" t="n">
        <f aca="false">Parts!$F$9</f>
        <v>140</v>
      </c>
      <c r="C5" s="2" t="s">
        <v>126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123</v>
      </c>
      <c r="B6" s="5" t="n">
        <f aca="false">Parts!$F$9</f>
        <v>140</v>
      </c>
      <c r="C6" s="2" t="s">
        <v>129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123</v>
      </c>
      <c r="B7" s="5" t="n">
        <f aca="false">Parts!$F$9</f>
        <v>140</v>
      </c>
      <c r="C7" s="2" t="s">
        <v>130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124</v>
      </c>
      <c r="B8" s="5" t="n">
        <f aca="false">Parts!$F$10</f>
        <v>240</v>
      </c>
      <c r="C8" s="2" t="s">
        <v>126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124</v>
      </c>
      <c r="B9" s="5" t="n">
        <f aca="false">Parts!$F$10</f>
        <v>240</v>
      </c>
      <c r="C9" s="2" t="s">
        <v>129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124</v>
      </c>
      <c r="B10" s="5" t="n">
        <f aca="false">Parts!$F$10</f>
        <v>240</v>
      </c>
      <c r="C10" s="2" t="s">
        <v>130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210</v>
      </c>
      <c r="B1" s="7" t="s">
        <v>211</v>
      </c>
      <c r="C1" s="7" t="s">
        <v>212</v>
      </c>
      <c r="D1" s="7" t="s">
        <v>213</v>
      </c>
      <c r="E1" s="7" t="s">
        <v>214</v>
      </c>
    </row>
    <row r="2" customFormat="false" ht="15" hidden="false" customHeight="false" outlineLevel="0" collapsed="false">
      <c r="A2" s="2" t="s">
        <v>215</v>
      </c>
      <c r="B2" s="12" t="n">
        <f aca="false">Parts!D6</f>
        <v>60</v>
      </c>
      <c r="D2" s="20" t="n">
        <f aca="false">SUM($C$2:C2)-SUM($B$2:B2)</f>
        <v>-60</v>
      </c>
      <c r="E2" s="6" t="s">
        <v>216</v>
      </c>
    </row>
    <row r="3" customFormat="false" ht="15" hidden="false" customHeight="false" outlineLevel="0" collapsed="false">
      <c r="A3" s="2" t="s">
        <v>217</v>
      </c>
      <c r="B3" s="12" t="n">
        <f aca="false">Caves!O2</f>
        <v>80</v>
      </c>
      <c r="D3" s="20" t="n">
        <f aca="false">SUM($C$2:C3)-SUM($B$2:B3)</f>
        <v>-140</v>
      </c>
      <c r="E3" s="6" t="s">
        <v>218</v>
      </c>
    </row>
    <row r="4" customFormat="false" ht="15" hidden="false" customHeight="false" outlineLevel="0" collapsed="false">
      <c r="A4" s="2" t="s">
        <v>219</v>
      </c>
      <c r="C4" s="12" t="n">
        <f aca="false">Caves!N2</f>
        <v>300</v>
      </c>
      <c r="D4" s="20" t="n">
        <f aca="false">SUM($C$2:C4)-SUM($B$2:B4)</f>
        <v>160</v>
      </c>
      <c r="E4" s="6" t="s">
        <v>220</v>
      </c>
    </row>
    <row r="5" customFormat="false" ht="15" hidden="false" customHeight="false" outlineLevel="0" collapsed="false">
      <c r="A5" s="2" t="s">
        <v>221</v>
      </c>
      <c r="B5" s="12" t="n">
        <f aca="false">Parts!D3</f>
        <v>120</v>
      </c>
      <c r="D5" s="20" t="n">
        <f aca="false">SUM($C$2:C5)-SUM($B$2:B5)</f>
        <v>40</v>
      </c>
      <c r="E5" s="6" t="s">
        <v>222</v>
      </c>
    </row>
    <row r="6" customFormat="false" ht="15" hidden="false" customHeight="false" outlineLevel="0" collapsed="false">
      <c r="A6" s="2" t="s">
        <v>223</v>
      </c>
      <c r="B6" s="12" t="n">
        <f aca="false">Parts!D9</f>
        <v>150</v>
      </c>
      <c r="D6" s="20" t="n">
        <f aca="false">SUM($C$2:C6)-SUM($B$2:B6)</f>
        <v>-110</v>
      </c>
      <c r="E6" s="6" t="s">
        <v>224</v>
      </c>
    </row>
    <row r="7" customFormat="false" ht="15" hidden="false" customHeight="false" outlineLevel="0" collapsed="false">
      <c r="A7" s="2" t="s">
        <v>225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226</v>
      </c>
      <c r="C8" s="12" t="n">
        <f aca="false">Caves!N3</f>
        <v>800</v>
      </c>
      <c r="D8" s="20" t="n">
        <f aca="false">SUM($C$2:C8)-SUM($B$2:B8)</f>
        <v>490</v>
      </c>
      <c r="E8" s="6" t="s">
        <v>227</v>
      </c>
    </row>
    <row r="9" customFormat="false" ht="15" hidden="false" customHeight="false" outlineLevel="0" collapsed="false">
      <c r="A9" s="2" t="s">
        <v>228</v>
      </c>
      <c r="B9" s="12" t="n">
        <f aca="false">Parts!D7</f>
        <v>900</v>
      </c>
      <c r="D9" s="20" t="n">
        <f aca="false">SUM($C$2:C9)-SUM($B$2:B9)</f>
        <v>-410</v>
      </c>
      <c r="E9" s="6" t="s">
        <v>229</v>
      </c>
    </row>
    <row r="10" customFormat="false" ht="15" hidden="false" customHeight="false" outlineLevel="0" collapsed="false">
      <c r="A10" s="2" t="s">
        <v>230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231</v>
      </c>
      <c r="C11" s="12" t="n">
        <f aca="false">Caves!N4</f>
        <v>2000</v>
      </c>
      <c r="D11" s="20" t="n">
        <f aca="false">SUM($C$2:C11)-SUM($B$2:B11)</f>
        <v>1090</v>
      </c>
      <c r="E11" s="6" t="s">
        <v>232</v>
      </c>
    </row>
    <row r="13" customFormat="false" ht="15" hidden="false" customHeight="false" outlineLevel="0" collapsed="false">
      <c r="A13" s="6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2026-10-13T05:52:52Z</dcterms:created>
  <dc:creator>openpyxl</dc:creator>
  <dc:description/>
  <dc:language>en-US</dc:language>
  <cp:lastModifiedBy/>
  <dcterms:modified xsi:type="dcterms:W3CDTF">2026-10-13T05:52:52Z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