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Parts" sheetId="3" state="visible" r:id="rId5"/>
    <sheet name="Ore" sheetId="4" state="visible" r:id="rId6"/>
    <sheet name="Battery" sheetId="5" state="visible" r:id="rId7"/>
    <sheet name="Outposts" sheetId="6" state="visible" r:id="rId8"/>
    <sheet name="Pet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<sst xmlns="http://schemas.openxmlformats.org/spreadsheetml/2006/main" count="179" uniqueCount="130">
  <si>
    <t xml:space="preserve">Bolt &amp; Burrow — balancing sheet (v0.5)</t>
  </si>
  <si>
    <t xml:space="preserve">A planning copy of the numbers in js/config.js. Changing this sheet does NOT change the game:</t>
  </si>
  <si>
    <t xml:space="preserve">once you like a number here, copy it into js/config.js.</t>
  </si>
  <si>
    <t xml:space="preserve">Colour key</t>
  </si>
  <si>
    <t xml:space="preserve">Blue text = a setting copied from config.js (edit these to test ideas)</t>
  </si>
  <si>
    <t xml:space="preserve">Black text = a formula worked out from the settings</t>
  </si>
  <si>
    <t xml:space="preserve">Green text = pulled from the Settings tab</t>
  </si>
  <si>
    <t xml:space="preserve">Tabs</t>
  </si>
  <si>
    <t xml:space="preserve">Settings – the shared numbers (dig rate, battery costs, conveyor, relic, ore depth bonus)</t>
  </si>
  <si>
    <t xml:space="preserve">Parts – every part, its cost and stats, and the total cost to max each slot</t>
  </si>
  <si>
    <t xml:space="preserve">Ore – what each ore sells for at each outpost depth, and how long it takes to dig with each arm tier</t>
  </si>
  <si>
    <t xml:space="preserve">Battery – how far each body can go on one charge with each set of legs</t>
  </si>
  <si>
    <t xml:space="preserve">Outposts – conveyor cost and depth for each outpost</t>
  </si>
  <si>
    <t xml:space="preserve">Pet – Pip the Mole: earnings and training cost per level</t>
  </si>
  <si>
    <t xml:space="preserve">Setting</t>
  </si>
  <si>
    <t xml:space="preserve">Value</t>
  </si>
  <si>
    <t xml:space="preserve">What it does (config.js name)</t>
  </si>
  <si>
    <t xml:space="preserve">Dig rate</t>
  </si>
  <si>
    <t xml:space="preserve">Damage per second per point of dig power (DIG_RATE)</t>
  </si>
  <si>
    <t xml:space="preserve">Move cost</t>
  </si>
  <si>
    <t xml:space="preserve">Battery per block travelled (BATTERY.move)</t>
  </si>
  <si>
    <t xml:space="preserve">Dig cost</t>
  </si>
  <si>
    <t xml:space="preserve">Battery per block broken (BATTERY.dig)</t>
  </si>
  <si>
    <t xml:space="preserve">Charge rate</t>
  </si>
  <si>
    <t xml:space="preserve">Battery per second at base or an outpost (CHARGE_RATE)</t>
  </si>
  <si>
    <t xml:space="preserve">Ore depth bonus</t>
  </si>
  <si>
    <t xml:space="preserve">Ore is worth +100% for every this many blocks of depth (ORE_DEPTH_BONUS)</t>
  </si>
  <si>
    <t xml:space="preserve">Base rows</t>
  </si>
  <si>
    <t xml:space="preserve">Rows in the base yard (BASE_ROWS)</t>
  </si>
  <si>
    <t xml:space="preserve">Outpost spacing</t>
  </si>
  <si>
    <t xml:space="preserve">Blocks between outposts (CONVEYOR.step)</t>
  </si>
  <si>
    <t xml:space="preserve">Outpost base cost</t>
  </si>
  <si>
    <t xml:space="preserve">Cost of the first outpost (CONVEYOR.baseCost)</t>
  </si>
  <si>
    <t xml:space="preserve">Outpost cost growth</t>
  </si>
  <si>
    <t xml:space="preserve">Each outpost costs this many times the last (CONVEYOR.costGrowth)</t>
  </si>
  <si>
    <t xml:space="preserve">Relic row</t>
  </si>
  <si>
    <t xml:space="preserve">Row of the Ancient Relic (RELIC.row)</t>
  </si>
  <si>
    <t xml:space="preserve">Relic reward</t>
  </si>
  <si>
    <t xml:space="preserve">Coins for bringing the relic back (RELIC.reward)</t>
  </si>
  <si>
    <t xml:space="preserve">Recall keeps</t>
  </si>
  <si>
    <t xml:space="preserve">Share of ore kept on a manual recall (RECALL.keepCargo)</t>
  </si>
  <si>
    <t xml:space="preserve">Cave-in battery loss</t>
  </si>
  <si>
    <t xml:space="preserve">Share of max battery lost in a cave-in (ROCK.batteryLoss)</t>
  </si>
  <si>
    <t xml:space="preserve">Cave-in cargo loss</t>
  </si>
  <si>
    <t xml:space="preserve">Share of ore lost in a cave-in (ROCK.cargoLoss)</t>
  </si>
  <si>
    <t xml:space="preserve">Slot</t>
  </si>
  <si>
    <t xml:space="preserve">Tier</t>
  </si>
  <si>
    <t xml:space="preserve">Part</t>
  </si>
  <si>
    <t xml:space="preserve">Cost (coins)</t>
  </si>
  <si>
    <t xml:space="preserve">Stat 1</t>
  </si>
  <si>
    <t xml:space="preserve">Stat 2</t>
  </si>
  <si>
    <t xml:space="preserve">Cumulative cost in slot</t>
  </si>
  <si>
    <t xml:space="preserve">Head</t>
  </si>
  <si>
    <t xml:space="preserve">Optic Bulb</t>
  </si>
  <si>
    <t xml:space="preserve">Light (blocks)</t>
  </si>
  <si>
    <t xml:space="preserve">Rock scan (blocks)</t>
  </si>
  <si>
    <t xml:space="preserve">Scanner Dome</t>
  </si>
  <si>
    <t xml:space="preserve">Quantum Eye</t>
  </si>
  <si>
    <t xml:space="preserve">Arms</t>
  </si>
  <si>
    <t xml:space="preserve">Pincers</t>
  </si>
  <si>
    <t xml:space="preserve">Dig power</t>
  </si>
  <si>
    <t xml:space="preserve">Drill Arms</t>
  </si>
  <si>
    <t xml:space="preserve">Plasma Cutters</t>
  </si>
  <si>
    <t xml:space="preserve">Body</t>
  </si>
  <si>
    <t xml:space="preserve">Tin Can</t>
  </si>
  <si>
    <t xml:space="preserve">Battery</t>
  </si>
  <si>
    <t xml:space="preserve">Cargo (ore)</t>
  </si>
  <si>
    <t xml:space="preserve">Iron Core</t>
  </si>
  <si>
    <t xml:space="preserve">Reactor</t>
  </si>
  <si>
    <t xml:space="preserve">Legs</t>
  </si>
  <si>
    <t xml:space="preserve">Rusty Treads</t>
  </si>
  <si>
    <t xml:space="preserve">Speed (blocks/s)</t>
  </si>
  <si>
    <t xml:space="preserve">Move cost share</t>
  </si>
  <si>
    <t xml:space="preserve">Spring Legs</t>
  </si>
  <si>
    <t xml:space="preserve">Hover Jets</t>
  </si>
  <si>
    <t xml:space="preserve">Total to max every part</t>
  </si>
  <si>
    <t xml:space="preserve">Ore</t>
  </si>
  <si>
    <t xml:space="preserve">Base value</t>
  </si>
  <si>
    <t xml:space="preserve">Toughness (hp)</t>
  </si>
  <si>
    <t xml:space="preserve">Value at 0 m</t>
  </si>
  <si>
    <t xml:space="preserve">Value at 25 m</t>
  </si>
  <si>
    <t xml:space="preserve">Value at 50 m</t>
  </si>
  <si>
    <t xml:space="preserve">Value at 75 m</t>
  </si>
  <si>
    <t xml:space="preserve">Value at 100 m</t>
  </si>
  <si>
    <t xml:space="preserve">Value at 125 m</t>
  </si>
  <si>
    <t xml:space="preserve">Value at 150 m</t>
  </si>
  <si>
    <t xml:space="preserve">Dig s · Pincers</t>
  </si>
  <si>
    <t xml:space="preserve">Dig s · Drills</t>
  </si>
  <si>
    <t xml:space="preserve">Dig s · Plasma</t>
  </si>
  <si>
    <t xml:space="preserve">Copper</t>
  </si>
  <si>
    <t xml:space="preserve">Silver</t>
  </si>
  <si>
    <t xml:space="preserve">Gold</t>
  </si>
  <si>
    <t xml:space="preserve">Crystal</t>
  </si>
  <si>
    <t xml:space="preserve">Plain blocks</t>
  </si>
  <si>
    <t xml:space="preserve">Dirt</t>
  </si>
  <si>
    <t xml:space="preserve">Clay</t>
  </si>
  <si>
    <t xml:space="preserve">Basalt</t>
  </si>
  <si>
    <t xml:space="preserve">Unstable rock</t>
  </si>
  <si>
    <t xml:space="preserve">Rubble</t>
  </si>
  <si>
    <t xml:space="preserve">Ancient Relic</t>
  </si>
  <si>
    <t xml:space="preserve">Dig times ignore the pet bonus (+8% dig power per pet level).</t>
  </si>
  <si>
    <t xml:space="preserve">Blocks you can walk</t>
  </si>
  <si>
    <t xml:space="preserve">Blocks of new tunnel</t>
  </si>
  <si>
    <t xml:space="preserve">Round trip depth (new tunnel out, walk back)</t>
  </si>
  <si>
    <t xml:space="preserve">Straight-line estimates: no detours, no cave-ins, and walking back the way you came. Riding the conveyor costs nothing.</t>
  </si>
  <si>
    <t xml:space="preserve">Outpost</t>
  </si>
  <si>
    <t xml:space="preserve">Depth (m)</t>
  </si>
  <si>
    <t xml:space="preserve">Row</t>
  </si>
  <si>
    <t xml:space="preserve">Cumulative cost</t>
  </si>
  <si>
    <t xml:space="preserve">Blocks of conveyor path to dig</t>
  </si>
  <si>
    <t xml:space="preserve">Relic</t>
  </si>
  <si>
    <t xml:space="preserve">Walk from last outpost to relic (m)</t>
  </si>
  <si>
    <t xml:space="preserve">The conveyor stops at Outpost 5 so the last stretch to the relic is on foot.</t>
  </si>
  <si>
    <t xml:space="preserve">Seconds per block at level 1</t>
  </si>
  <si>
    <t xml:space="preserve">Dig speed per level</t>
  </si>
  <si>
    <t xml:space="preserve">Coins per block at level 1</t>
  </si>
  <si>
    <t xml:space="preserve">Ore chance</t>
  </si>
  <si>
    <t xml:space="preserve">Ore multiplier</t>
  </si>
  <si>
    <t xml:space="preserve">Dig bonus to robot per level</t>
  </si>
  <si>
    <t xml:space="preserve">First training cost</t>
  </si>
  <si>
    <t xml:space="preserve">Training cost growth</t>
  </si>
  <si>
    <t xml:space="preserve">Level</t>
  </si>
  <si>
    <t xml:space="preserve">Seconds per block</t>
  </si>
  <si>
    <t xml:space="preserve">Coins per block</t>
  </si>
  <si>
    <t xml:space="preserve">Coins per minute</t>
  </si>
  <si>
    <t xml:space="preserve">Robot dig bonus</t>
  </si>
  <si>
    <t xml:space="preserve">Cost to train to this level</t>
  </si>
  <si>
    <t xml:space="preserve">Cumulative training</t>
  </si>
  <si>
    <t xml:space="preserve">Hatched from the fossil</t>
  </si>
  <si>
    <t xml:space="preserve">"Coins per minute" includes the bonus from ore blocks (ore chance × ore multiplier).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</si>
</sst>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"/>
    <numFmt numFmtId="167" formatCode="0.00"/>
    <numFmt numFmtId="168" formatCode="0"/>
    <numFmt numFmtId="169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666666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A2B20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B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5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6" t="s">
        <v>14</v>
      </c>
      <c r="B1" s="6" t="s">
        <v>15</v>
      </c>
      <c r="C1" s="6" t="s">
        <v>16</v>
      </c>
    </row>
    <row r="2" customFormat="false" ht="15" hidden="false" customHeight="false" outlineLevel="0" collapsed="false">
      <c r="A2" s="2" t="s">
        <v>17</v>
      </c>
      <c r="B2" s="4" t="n">
        <v>4</v>
      </c>
      <c r="C2" s="7" t="s">
        <v>18</v>
      </c>
    </row>
    <row r="3" customFormat="false" ht="15" hidden="false" customHeight="false" outlineLevel="0" collapsed="false">
      <c r="A3" s="2" t="s">
        <v>19</v>
      </c>
      <c r="B3" s="4" t="n">
        <v>0.5</v>
      </c>
      <c r="C3" s="7" t="s">
        <v>20</v>
      </c>
    </row>
    <row r="4" customFormat="false" ht="15" hidden="false" customHeight="false" outlineLevel="0" collapsed="false">
      <c r="A4" s="2" t="s">
        <v>21</v>
      </c>
      <c r="B4" s="4" t="n">
        <v>1.2</v>
      </c>
      <c r="C4" s="7" t="s">
        <v>22</v>
      </c>
    </row>
    <row r="5" customFormat="false" ht="15" hidden="false" customHeight="false" outlineLevel="0" collapsed="false">
      <c r="A5" s="2" t="s">
        <v>23</v>
      </c>
      <c r="B5" s="4" t="n">
        <v>45</v>
      </c>
      <c r="C5" s="7" t="s">
        <v>24</v>
      </c>
    </row>
    <row r="6" customFormat="false" ht="15" hidden="false" customHeight="false" outlineLevel="0" collapsed="false">
      <c r="A6" s="2" t="s">
        <v>25</v>
      </c>
      <c r="B6" s="4" t="n">
        <v>60</v>
      </c>
      <c r="C6" s="7" t="s">
        <v>26</v>
      </c>
    </row>
    <row r="7" customFormat="false" ht="15" hidden="false" customHeight="false" outlineLevel="0" collapsed="false">
      <c r="A7" s="2" t="s">
        <v>27</v>
      </c>
      <c r="B7" s="4" t="n">
        <v>4</v>
      </c>
      <c r="C7" s="7" t="s">
        <v>28</v>
      </c>
    </row>
    <row r="8" customFormat="false" ht="15" hidden="false" customHeight="false" outlineLevel="0" collapsed="false">
      <c r="A8" s="2" t="s">
        <v>29</v>
      </c>
      <c r="B8" s="4" t="n">
        <v>25</v>
      </c>
      <c r="C8" s="7" t="s">
        <v>30</v>
      </c>
    </row>
    <row r="9" customFormat="false" ht="15" hidden="false" customHeight="false" outlineLevel="0" collapsed="false">
      <c r="A9" s="2" t="s">
        <v>31</v>
      </c>
      <c r="B9" s="4" t="n">
        <v>80</v>
      </c>
      <c r="C9" s="7" t="s">
        <v>32</v>
      </c>
    </row>
    <row r="10" customFormat="false" ht="15" hidden="false" customHeight="false" outlineLevel="0" collapsed="false">
      <c r="A10" s="2" t="s">
        <v>33</v>
      </c>
      <c r="B10" s="4" t="n">
        <v>1.6</v>
      </c>
      <c r="C10" s="7" t="s">
        <v>34</v>
      </c>
    </row>
    <row r="11" customFormat="false" ht="15" hidden="false" customHeight="false" outlineLevel="0" collapsed="false">
      <c r="A11" s="2" t="s">
        <v>35</v>
      </c>
      <c r="B11" s="4" t="n">
        <v>156</v>
      </c>
      <c r="C11" s="7" t="s">
        <v>36</v>
      </c>
    </row>
    <row r="12" customFormat="false" ht="15" hidden="false" customHeight="false" outlineLevel="0" collapsed="false">
      <c r="A12" s="2" t="s">
        <v>37</v>
      </c>
      <c r="B12" s="4" t="n">
        <v>5000</v>
      </c>
      <c r="C12" s="7" t="s">
        <v>38</v>
      </c>
    </row>
    <row r="13" customFormat="false" ht="15" hidden="false" customHeight="false" outlineLevel="0" collapsed="false">
      <c r="A13" s="2" t="s">
        <v>39</v>
      </c>
      <c r="B13" s="8" t="n">
        <v>0.5</v>
      </c>
      <c r="C13" s="7" t="s">
        <v>40</v>
      </c>
    </row>
    <row r="14" customFormat="false" ht="15" hidden="false" customHeight="false" outlineLevel="0" collapsed="false">
      <c r="A14" s="2" t="s">
        <v>41</v>
      </c>
      <c r="B14" s="8" t="n">
        <v>0.25</v>
      </c>
      <c r="C14" s="7" t="s">
        <v>42</v>
      </c>
    </row>
    <row r="15" customFormat="false" ht="15" hidden="false" customHeight="false" outlineLevel="0" collapsed="false">
      <c r="A15" s="2" t="s">
        <v>43</v>
      </c>
      <c r="B15" s="8" t="n">
        <v>0.3</v>
      </c>
      <c r="C15" s="7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20"/>
    <col collapsed="false" customWidth="true" hidden="false" outlineLevel="0" max="8" min="8" style="0" width="9"/>
    <col collapsed="false" customWidth="true" hidden="false" outlineLevel="0" max="9" min="9" style="0" width="16"/>
  </cols>
  <sheetData>
    <row r="1" customFormat="false" ht="26.85" hidden="false" customHeight="false" outlineLevel="0" collapsed="false">
      <c r="A1" s="6" t="s">
        <v>45</v>
      </c>
      <c r="B1" s="6" t="s">
        <v>46</v>
      </c>
      <c r="C1" s="6" t="s">
        <v>47</v>
      </c>
      <c r="D1" s="6" t="s">
        <v>48</v>
      </c>
      <c r="E1" s="6" t="s">
        <v>49</v>
      </c>
      <c r="F1" s="6" t="s">
        <v>15</v>
      </c>
      <c r="G1" s="6" t="s">
        <v>50</v>
      </c>
      <c r="H1" s="6" t="s">
        <v>15</v>
      </c>
      <c r="I1" s="6" t="s">
        <v>51</v>
      </c>
    </row>
    <row r="2" customFormat="false" ht="15" hidden="false" customHeight="false" outlineLevel="0" collapsed="false">
      <c r="A2" s="2" t="s">
        <v>52</v>
      </c>
      <c r="B2" s="2" t="n">
        <v>1</v>
      </c>
      <c r="C2" s="2" t="s">
        <v>53</v>
      </c>
      <c r="D2" s="9" t="n">
        <v>0</v>
      </c>
      <c r="E2" s="2" t="s">
        <v>54</v>
      </c>
      <c r="F2" s="4" t="n">
        <v>2.5</v>
      </c>
      <c r="G2" s="2" t="s">
        <v>55</v>
      </c>
      <c r="H2" s="4" t="n">
        <v>0</v>
      </c>
      <c r="I2" s="10" t="n">
        <f aca="false">SUM(D2:D2)</f>
        <v>0</v>
      </c>
    </row>
    <row r="3" customFormat="false" ht="15" hidden="false" customHeight="false" outlineLevel="0" collapsed="false">
      <c r="A3" s="2" t="s">
        <v>52</v>
      </c>
      <c r="B3" s="2" t="n">
        <v>2</v>
      </c>
      <c r="C3" s="2" t="s">
        <v>56</v>
      </c>
      <c r="D3" s="9" t="n">
        <v>120</v>
      </c>
      <c r="E3" s="2" t="s">
        <v>54</v>
      </c>
      <c r="F3" s="4" t="n">
        <v>4</v>
      </c>
      <c r="G3" s="2" t="s">
        <v>55</v>
      </c>
      <c r="H3" s="4" t="n">
        <v>3</v>
      </c>
      <c r="I3" s="10" t="n">
        <f aca="false">SUM(D2:D3)</f>
        <v>120</v>
      </c>
    </row>
    <row r="4" customFormat="false" ht="15" hidden="false" customHeight="false" outlineLevel="0" collapsed="false">
      <c r="A4" s="2" t="s">
        <v>52</v>
      </c>
      <c r="B4" s="2" t="n">
        <v>3</v>
      </c>
      <c r="C4" s="2" t="s">
        <v>57</v>
      </c>
      <c r="D4" s="9" t="n">
        <v>1000</v>
      </c>
      <c r="E4" s="2" t="s">
        <v>54</v>
      </c>
      <c r="F4" s="4" t="n">
        <v>6</v>
      </c>
      <c r="G4" s="2" t="s">
        <v>55</v>
      </c>
      <c r="H4" s="4" t="n">
        <v>6</v>
      </c>
      <c r="I4" s="10" t="n">
        <f aca="false">SUM(D2:D4)</f>
        <v>1120</v>
      </c>
    </row>
    <row r="5" customFormat="false" ht="15" hidden="false" customHeight="false" outlineLevel="0" collapsed="false">
      <c r="A5" s="2" t="s">
        <v>58</v>
      </c>
      <c r="B5" s="2" t="n">
        <v>1</v>
      </c>
      <c r="C5" s="2" t="s">
        <v>59</v>
      </c>
      <c r="D5" s="9" t="n">
        <v>0</v>
      </c>
      <c r="E5" s="2" t="s">
        <v>60</v>
      </c>
      <c r="F5" s="4" t="n">
        <v>1</v>
      </c>
      <c r="G5" s="2"/>
      <c r="H5" s="4"/>
      <c r="I5" s="10" t="n">
        <f aca="false">SUM(D5:D5)</f>
        <v>0</v>
      </c>
    </row>
    <row r="6" customFormat="false" ht="15" hidden="false" customHeight="false" outlineLevel="0" collapsed="false">
      <c r="A6" s="2" t="s">
        <v>58</v>
      </c>
      <c r="B6" s="2" t="n">
        <v>2</v>
      </c>
      <c r="C6" s="2" t="s">
        <v>61</v>
      </c>
      <c r="D6" s="9" t="n">
        <v>60</v>
      </c>
      <c r="E6" s="2" t="s">
        <v>60</v>
      </c>
      <c r="F6" s="4" t="n">
        <v>3</v>
      </c>
      <c r="G6" s="2"/>
      <c r="H6" s="4"/>
      <c r="I6" s="10" t="n">
        <f aca="false">SUM(D5:D6)</f>
        <v>60</v>
      </c>
    </row>
    <row r="7" customFormat="false" ht="15" hidden="false" customHeight="false" outlineLevel="0" collapsed="false">
      <c r="A7" s="2" t="s">
        <v>58</v>
      </c>
      <c r="B7" s="2" t="n">
        <v>3</v>
      </c>
      <c r="C7" s="2" t="s">
        <v>62</v>
      </c>
      <c r="D7" s="9" t="n">
        <v>900</v>
      </c>
      <c r="E7" s="2" t="s">
        <v>60</v>
      </c>
      <c r="F7" s="4" t="n">
        <v>8</v>
      </c>
      <c r="G7" s="2"/>
      <c r="H7" s="4"/>
      <c r="I7" s="10" t="n">
        <f aca="false">SUM(D5:D7)</f>
        <v>960</v>
      </c>
    </row>
    <row r="8" customFormat="false" ht="15" hidden="false" customHeight="false" outlineLevel="0" collapsed="false">
      <c r="A8" s="2" t="s">
        <v>63</v>
      </c>
      <c r="B8" s="2" t="n">
        <v>1</v>
      </c>
      <c r="C8" s="2" t="s">
        <v>64</v>
      </c>
      <c r="D8" s="9" t="n">
        <v>0</v>
      </c>
      <c r="E8" s="2" t="s">
        <v>65</v>
      </c>
      <c r="F8" s="4" t="n">
        <v>80</v>
      </c>
      <c r="G8" s="2" t="s">
        <v>66</v>
      </c>
      <c r="H8" s="4" t="n">
        <v>8</v>
      </c>
      <c r="I8" s="10" t="n">
        <f aca="false">SUM(D8:D8)</f>
        <v>0</v>
      </c>
    </row>
    <row r="9" customFormat="false" ht="15" hidden="false" customHeight="false" outlineLevel="0" collapsed="false">
      <c r="A9" s="2" t="s">
        <v>63</v>
      </c>
      <c r="B9" s="2" t="n">
        <v>2</v>
      </c>
      <c r="C9" s="2" t="s">
        <v>67</v>
      </c>
      <c r="D9" s="9" t="n">
        <v>150</v>
      </c>
      <c r="E9" s="2" t="s">
        <v>65</v>
      </c>
      <c r="F9" s="4" t="n">
        <v>140</v>
      </c>
      <c r="G9" s="2" t="s">
        <v>66</v>
      </c>
      <c r="H9" s="4" t="n">
        <v>16</v>
      </c>
      <c r="I9" s="10" t="n">
        <f aca="false">SUM(D8:D9)</f>
        <v>150</v>
      </c>
    </row>
    <row r="10" customFormat="false" ht="15" hidden="false" customHeight="false" outlineLevel="0" collapsed="false">
      <c r="A10" s="2" t="s">
        <v>63</v>
      </c>
      <c r="B10" s="2" t="n">
        <v>3</v>
      </c>
      <c r="C10" s="2" t="s">
        <v>68</v>
      </c>
      <c r="D10" s="9" t="n">
        <v>1400</v>
      </c>
      <c r="E10" s="2" t="s">
        <v>65</v>
      </c>
      <c r="F10" s="4" t="n">
        <v>240</v>
      </c>
      <c r="G10" s="2" t="s">
        <v>66</v>
      </c>
      <c r="H10" s="4" t="n">
        <v>30</v>
      </c>
      <c r="I10" s="10" t="n">
        <f aca="false">SUM(D8:D10)</f>
        <v>1550</v>
      </c>
    </row>
    <row r="11" customFormat="false" ht="15" hidden="false" customHeight="false" outlineLevel="0" collapsed="false">
      <c r="A11" s="2" t="s">
        <v>69</v>
      </c>
      <c r="B11" s="2" t="n">
        <v>1</v>
      </c>
      <c r="C11" s="2" t="s">
        <v>70</v>
      </c>
      <c r="D11" s="9" t="n">
        <v>0</v>
      </c>
      <c r="E11" s="2" t="s">
        <v>71</v>
      </c>
      <c r="F11" s="4" t="n">
        <v>4</v>
      </c>
      <c r="G11" s="2" t="s">
        <v>72</v>
      </c>
      <c r="H11" s="8" t="n">
        <v>1</v>
      </c>
      <c r="I11" s="10" t="n">
        <f aca="false">SUM(D11:D11)</f>
        <v>0</v>
      </c>
    </row>
    <row r="12" customFormat="false" ht="15" hidden="false" customHeight="false" outlineLevel="0" collapsed="false">
      <c r="A12" s="2" t="s">
        <v>69</v>
      </c>
      <c r="B12" s="2" t="n">
        <v>2</v>
      </c>
      <c r="C12" s="2" t="s">
        <v>73</v>
      </c>
      <c r="D12" s="9" t="n">
        <v>90</v>
      </c>
      <c r="E12" s="2" t="s">
        <v>71</v>
      </c>
      <c r="F12" s="4" t="n">
        <v>5.5</v>
      </c>
      <c r="G12" s="2" t="s">
        <v>72</v>
      </c>
      <c r="H12" s="8" t="n">
        <v>0.8</v>
      </c>
      <c r="I12" s="10" t="n">
        <f aca="false">SUM(D11:D12)</f>
        <v>90</v>
      </c>
    </row>
    <row r="13" customFormat="false" ht="15" hidden="false" customHeight="false" outlineLevel="0" collapsed="false">
      <c r="A13" s="2" t="s">
        <v>69</v>
      </c>
      <c r="B13" s="2" t="n">
        <v>3</v>
      </c>
      <c r="C13" s="2" t="s">
        <v>74</v>
      </c>
      <c r="D13" s="9" t="n">
        <v>1200</v>
      </c>
      <c r="E13" s="2" t="s">
        <v>71</v>
      </c>
      <c r="F13" s="4" t="n">
        <v>7</v>
      </c>
      <c r="G13" s="2" t="s">
        <v>72</v>
      </c>
      <c r="H13" s="8" t="n">
        <v>0.55</v>
      </c>
      <c r="I13" s="10" t="n">
        <f aca="false">SUM(D11:D13)</f>
        <v>1290</v>
      </c>
    </row>
    <row r="15" customFormat="false" ht="15" hidden="false" customHeight="false" outlineLevel="0" collapsed="false">
      <c r="C15" s="3" t="s">
        <v>75</v>
      </c>
      <c r="D15" s="11" t="n">
        <f aca="false">SUM(D2:D13)</f>
        <v>4920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10" min="4" style="0" width="12"/>
    <col collapsed="false" customWidth="true" hidden="false" outlineLevel="0" max="11" min="11" style="0" width="14"/>
    <col collapsed="false" customWidth="true" hidden="false" outlineLevel="0" max="13" min="12" style="0" width="13"/>
  </cols>
  <sheetData>
    <row r="1" customFormat="false" ht="26.85" hidden="false" customHeight="false" outlineLevel="0" collapsed="false">
      <c r="A1" s="6" t="s">
        <v>76</v>
      </c>
      <c r="B1" s="6" t="s">
        <v>77</v>
      </c>
      <c r="C1" s="6" t="s">
        <v>78</v>
      </c>
      <c r="D1" s="6" t="s">
        <v>79</v>
      </c>
      <c r="E1" s="6" t="s">
        <v>80</v>
      </c>
      <c r="F1" s="6" t="s">
        <v>81</v>
      </c>
      <c r="G1" s="6" t="s">
        <v>82</v>
      </c>
      <c r="H1" s="6" t="s">
        <v>83</v>
      </c>
      <c r="I1" s="6" t="s">
        <v>84</v>
      </c>
      <c r="J1" s="6" t="s">
        <v>85</v>
      </c>
      <c r="K1" s="6" t="s">
        <v>86</v>
      </c>
      <c r="L1" s="6" t="s">
        <v>87</v>
      </c>
      <c r="M1" s="6" t="s">
        <v>88</v>
      </c>
    </row>
    <row r="2" customFormat="false" ht="15" hidden="false" customHeight="false" outlineLevel="0" collapsed="false">
      <c r="A2" s="2" t="s">
        <v>89</v>
      </c>
      <c r="B2" s="4" t="n">
        <v>5</v>
      </c>
      <c r="C2" s="4" t="n">
        <v>3</v>
      </c>
      <c r="D2" s="10" t="n">
        <f aca="false">ROUND($B2*(1+MAX(0,0-1)/Settings!$B$6),0)</f>
        <v>5</v>
      </c>
      <c r="E2" s="10" t="n">
        <f aca="false">ROUND($B2*(1+MAX(0,25-1)/Settings!$B$6),0)</f>
        <v>7</v>
      </c>
      <c r="F2" s="10" t="n">
        <f aca="false">ROUND($B2*(1+MAX(0,50-1)/Settings!$B$6),0)</f>
        <v>9</v>
      </c>
      <c r="G2" s="10" t="n">
        <f aca="false">ROUND($B2*(1+MAX(0,75-1)/Settings!$B$6),0)</f>
        <v>11</v>
      </c>
      <c r="H2" s="10" t="n">
        <f aca="false">ROUND($B2*(1+MAX(0,100-1)/Settings!$B$6),0)</f>
        <v>13</v>
      </c>
      <c r="I2" s="10" t="n">
        <f aca="false">ROUND($B2*(1+MAX(0,125-1)/Settings!$B$6),0)</f>
        <v>15</v>
      </c>
      <c r="J2" s="10" t="n">
        <f aca="false">ROUND($B2*(1+MAX(0,150-1)/Settings!$B$6),0)</f>
        <v>17</v>
      </c>
      <c r="K2" s="12" t="n">
        <f aca="false">$C2/(Settings!$B$2*Parts!$F$5)</f>
        <v>0.75</v>
      </c>
      <c r="L2" s="12" t="n">
        <f aca="false">$C2/(Settings!$B$2*Parts!$F$6)</f>
        <v>0.25</v>
      </c>
      <c r="M2" s="12" t="n">
        <f aca="false">$C2/(Settings!$B$2*Parts!$F$7)</f>
        <v>0.09375</v>
      </c>
    </row>
    <row r="3" customFormat="false" ht="15" hidden="false" customHeight="false" outlineLevel="0" collapsed="false">
      <c r="A3" s="2" t="s">
        <v>90</v>
      </c>
      <c r="B3" s="4" t="n">
        <v>14</v>
      </c>
      <c r="C3" s="4" t="n">
        <v>5</v>
      </c>
      <c r="D3" s="10" t="n">
        <f aca="false">ROUND($B3*(1+MAX(0,0-1)/Settings!$B$6),0)</f>
        <v>14</v>
      </c>
      <c r="E3" s="10" t="n">
        <f aca="false">ROUND($B3*(1+MAX(0,25-1)/Settings!$B$6),0)</f>
        <v>20</v>
      </c>
      <c r="F3" s="10" t="n">
        <f aca="false">ROUND($B3*(1+MAX(0,50-1)/Settings!$B$6),0)</f>
        <v>25</v>
      </c>
      <c r="G3" s="10" t="n">
        <f aca="false">ROUND($B3*(1+MAX(0,75-1)/Settings!$B$6),0)</f>
        <v>31</v>
      </c>
      <c r="H3" s="10" t="n">
        <f aca="false">ROUND($B3*(1+MAX(0,100-1)/Settings!$B$6),0)</f>
        <v>37</v>
      </c>
      <c r="I3" s="10" t="n">
        <f aca="false">ROUND($B3*(1+MAX(0,125-1)/Settings!$B$6),0)</f>
        <v>43</v>
      </c>
      <c r="J3" s="10" t="n">
        <f aca="false">ROUND($B3*(1+MAX(0,150-1)/Settings!$B$6),0)</f>
        <v>49</v>
      </c>
      <c r="K3" s="12" t="n">
        <f aca="false">$C3/(Settings!$B$2*Parts!$F$5)</f>
        <v>1.25</v>
      </c>
      <c r="L3" s="12" t="n">
        <f aca="false">$C3/(Settings!$B$2*Parts!$F$6)</f>
        <v>0.416666666666667</v>
      </c>
      <c r="M3" s="12" t="n">
        <f aca="false">$C3/(Settings!$B$2*Parts!$F$7)</f>
        <v>0.15625</v>
      </c>
    </row>
    <row r="4" customFormat="false" ht="15" hidden="false" customHeight="false" outlineLevel="0" collapsed="false">
      <c r="A4" s="2" t="s">
        <v>91</v>
      </c>
      <c r="B4" s="4" t="n">
        <v>40</v>
      </c>
      <c r="C4" s="4" t="n">
        <v>8</v>
      </c>
      <c r="D4" s="10" t="n">
        <f aca="false">ROUND($B4*(1+MAX(0,0-1)/Settings!$B$6),0)</f>
        <v>40</v>
      </c>
      <c r="E4" s="10" t="n">
        <f aca="false">ROUND($B4*(1+MAX(0,25-1)/Settings!$B$6),0)</f>
        <v>56</v>
      </c>
      <c r="F4" s="10" t="n">
        <f aca="false">ROUND($B4*(1+MAX(0,50-1)/Settings!$B$6),0)</f>
        <v>73</v>
      </c>
      <c r="G4" s="10" t="n">
        <f aca="false">ROUND($B4*(1+MAX(0,75-1)/Settings!$B$6),0)</f>
        <v>89</v>
      </c>
      <c r="H4" s="10" t="n">
        <f aca="false">ROUND($B4*(1+MAX(0,100-1)/Settings!$B$6),0)</f>
        <v>106</v>
      </c>
      <c r="I4" s="10" t="n">
        <f aca="false">ROUND($B4*(1+MAX(0,125-1)/Settings!$B$6),0)</f>
        <v>123</v>
      </c>
      <c r="J4" s="10" t="n">
        <f aca="false">ROUND($B4*(1+MAX(0,150-1)/Settings!$B$6),0)</f>
        <v>139</v>
      </c>
      <c r="K4" s="12" t="n">
        <f aca="false">$C4/(Settings!$B$2*Parts!$F$5)</f>
        <v>2</v>
      </c>
      <c r="L4" s="12" t="n">
        <f aca="false">$C4/(Settings!$B$2*Parts!$F$6)</f>
        <v>0.666666666666667</v>
      </c>
      <c r="M4" s="12" t="n">
        <f aca="false">$C4/(Settings!$B$2*Parts!$F$7)</f>
        <v>0.25</v>
      </c>
    </row>
    <row r="5" customFormat="false" ht="15" hidden="false" customHeight="false" outlineLevel="0" collapsed="false">
      <c r="A5" s="2" t="s">
        <v>92</v>
      </c>
      <c r="B5" s="4" t="n">
        <v>95</v>
      </c>
      <c r="C5" s="4" t="n">
        <v>11</v>
      </c>
      <c r="D5" s="10" t="n">
        <f aca="false">ROUND($B5*(1+MAX(0,0-1)/Settings!$B$6),0)</f>
        <v>95</v>
      </c>
      <c r="E5" s="10" t="n">
        <f aca="false">ROUND($B5*(1+MAX(0,25-1)/Settings!$B$6),0)</f>
        <v>133</v>
      </c>
      <c r="F5" s="10" t="n">
        <f aca="false">ROUND($B5*(1+MAX(0,50-1)/Settings!$B$6),0)</f>
        <v>173</v>
      </c>
      <c r="G5" s="10" t="n">
        <f aca="false">ROUND($B5*(1+MAX(0,75-1)/Settings!$B$6),0)</f>
        <v>212</v>
      </c>
      <c r="H5" s="10" t="n">
        <f aca="false">ROUND($B5*(1+MAX(0,100-1)/Settings!$B$6),0)</f>
        <v>252</v>
      </c>
      <c r="I5" s="10" t="n">
        <f aca="false">ROUND($B5*(1+MAX(0,125-1)/Settings!$B$6),0)</f>
        <v>291</v>
      </c>
      <c r="J5" s="10" t="n">
        <f aca="false">ROUND($B5*(1+MAX(0,150-1)/Settings!$B$6),0)</f>
        <v>331</v>
      </c>
      <c r="K5" s="12" t="n">
        <f aca="false">$C5/(Settings!$B$2*Parts!$F$5)</f>
        <v>2.75</v>
      </c>
      <c r="L5" s="12" t="n">
        <f aca="false">$C5/(Settings!$B$2*Parts!$F$6)</f>
        <v>0.916666666666667</v>
      </c>
      <c r="M5" s="12" t="n">
        <f aca="false">$C5/(Settings!$B$2*Parts!$F$7)</f>
        <v>0.34375</v>
      </c>
    </row>
    <row r="7" customFormat="false" ht="15" hidden="false" customHeight="false" outlineLevel="0" collapsed="false">
      <c r="A7" s="3" t="s">
        <v>93</v>
      </c>
    </row>
    <row r="8" customFormat="false" ht="15" hidden="false" customHeight="false" outlineLevel="0" collapsed="false">
      <c r="A8" s="2" t="s">
        <v>94</v>
      </c>
      <c r="C8" s="4" t="n">
        <v>2</v>
      </c>
      <c r="K8" s="12" t="n">
        <f aca="false">$C8/(Settings!$B$2*Parts!$F$5)</f>
        <v>0.5</v>
      </c>
      <c r="L8" s="12" t="n">
        <f aca="false">$C8/(Settings!$B$2*Parts!$F$6)</f>
        <v>0.166666666666667</v>
      </c>
      <c r="M8" s="12" t="n">
        <f aca="false">$C8/(Settings!$B$2*Parts!$F$7)</f>
        <v>0.0625</v>
      </c>
    </row>
    <row r="9" customFormat="false" ht="15" hidden="false" customHeight="false" outlineLevel="0" collapsed="false">
      <c r="A9" s="2" t="s">
        <v>95</v>
      </c>
      <c r="C9" s="4" t="n">
        <v>4</v>
      </c>
      <c r="K9" s="12" t="n">
        <f aca="false">$C9/(Settings!$B$2*Parts!$F$5)</f>
        <v>1</v>
      </c>
      <c r="L9" s="12" t="n">
        <f aca="false">$C9/(Settings!$B$2*Parts!$F$6)</f>
        <v>0.333333333333333</v>
      </c>
      <c r="M9" s="12" t="n">
        <f aca="false">$C9/(Settings!$B$2*Parts!$F$7)</f>
        <v>0.125</v>
      </c>
    </row>
    <row r="10" customFormat="false" ht="15" hidden="false" customHeight="false" outlineLevel="0" collapsed="false">
      <c r="A10" s="2" t="s">
        <v>96</v>
      </c>
      <c r="C10" s="4" t="n">
        <v>9</v>
      </c>
      <c r="K10" s="12" t="n">
        <f aca="false">$C10/(Settings!$B$2*Parts!$F$5)</f>
        <v>2.25</v>
      </c>
      <c r="L10" s="12" t="n">
        <f aca="false">$C10/(Settings!$B$2*Parts!$F$6)</f>
        <v>0.75</v>
      </c>
      <c r="M10" s="12" t="n">
        <f aca="false">$C10/(Settings!$B$2*Parts!$F$7)</f>
        <v>0.28125</v>
      </c>
    </row>
    <row r="11" customFormat="false" ht="15" hidden="false" customHeight="false" outlineLevel="0" collapsed="false">
      <c r="A11" s="2" t="s">
        <v>97</v>
      </c>
      <c r="C11" s="4" t="n">
        <v>3</v>
      </c>
      <c r="K11" s="12" t="n">
        <f aca="false">$C11/(Settings!$B$2*Parts!$F$5)</f>
        <v>0.75</v>
      </c>
      <c r="L11" s="12" t="n">
        <f aca="false">$C11/(Settings!$B$2*Parts!$F$6)</f>
        <v>0.25</v>
      </c>
      <c r="M11" s="12" t="n">
        <f aca="false">$C11/(Settings!$B$2*Parts!$F$7)</f>
        <v>0.09375</v>
      </c>
    </row>
    <row r="12" customFormat="false" ht="15" hidden="false" customHeight="false" outlineLevel="0" collapsed="false">
      <c r="A12" s="2" t="s">
        <v>98</v>
      </c>
      <c r="C12" s="4" t="n">
        <v>1</v>
      </c>
      <c r="K12" s="12" t="n">
        <f aca="false">$C12/(Settings!$B$2*Parts!$F$5)</f>
        <v>0.25</v>
      </c>
      <c r="L12" s="12" t="n">
        <f aca="false">$C12/(Settings!$B$2*Parts!$F$6)</f>
        <v>0.0833333333333333</v>
      </c>
      <c r="M12" s="12" t="n">
        <f aca="false">$C12/(Settings!$B$2*Parts!$F$7)</f>
        <v>0.03125</v>
      </c>
    </row>
    <row r="13" customFormat="false" ht="15" hidden="false" customHeight="false" outlineLevel="0" collapsed="false">
      <c r="A13" s="2" t="s">
        <v>99</v>
      </c>
      <c r="C13" s="4" t="n">
        <v>40</v>
      </c>
      <c r="K13" s="12" t="n">
        <f aca="false">$C13/(Settings!$B$2*Parts!$F$5)</f>
        <v>10</v>
      </c>
      <c r="L13" s="12" t="n">
        <f aca="false">$C13/(Settings!$B$2*Parts!$F$6)</f>
        <v>3.33333333333333</v>
      </c>
      <c r="M13" s="12" t="n">
        <f aca="false">$C13/(Settings!$B$2*Parts!$F$7)</f>
        <v>1.25</v>
      </c>
    </row>
    <row r="15" customFormat="false" ht="15" hidden="false" customHeight="false" outlineLevel="0" collapsed="false">
      <c r="A15" s="7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34"/>
  </cols>
  <sheetData>
    <row r="1" customFormat="false" ht="26.85" hidden="false" customHeight="false" outlineLevel="0" collapsed="false">
      <c r="A1" s="6" t="s">
        <v>63</v>
      </c>
      <c r="B1" s="6" t="s">
        <v>65</v>
      </c>
      <c r="C1" s="6" t="s">
        <v>69</v>
      </c>
      <c r="D1" s="6" t="s">
        <v>72</v>
      </c>
      <c r="E1" s="6" t="s">
        <v>101</v>
      </c>
      <c r="F1" s="6" t="s">
        <v>102</v>
      </c>
      <c r="G1" s="6" t="s">
        <v>103</v>
      </c>
    </row>
    <row r="2" customFormat="false" ht="15" hidden="false" customHeight="false" outlineLevel="0" collapsed="false">
      <c r="A2" s="2" t="s">
        <v>64</v>
      </c>
      <c r="B2" s="5" t="n">
        <f aca="false">Parts!$F$8</f>
        <v>80</v>
      </c>
      <c r="C2" s="2" t="s">
        <v>70</v>
      </c>
      <c r="D2" s="13" t="n">
        <f aca="false">Parts!$H$11</f>
        <v>1</v>
      </c>
      <c r="E2" s="14" t="n">
        <f aca="false">B2/(Settings!$B$3*D2)</f>
        <v>160</v>
      </c>
      <c r="F2" s="14" t="n">
        <f aca="false">B2/(Settings!$B$3*D2+Settings!$B$4)</f>
        <v>47.0588235294118</v>
      </c>
      <c r="G2" s="14" t="n">
        <f aca="false">B2/(2*Settings!$B$3*D2+Settings!$B$4)</f>
        <v>36.3636363636364</v>
      </c>
    </row>
    <row r="3" customFormat="false" ht="15" hidden="false" customHeight="false" outlineLevel="0" collapsed="false">
      <c r="A3" s="2" t="s">
        <v>64</v>
      </c>
      <c r="B3" s="5" t="n">
        <f aca="false">Parts!$F$8</f>
        <v>80</v>
      </c>
      <c r="C3" s="2" t="s">
        <v>73</v>
      </c>
      <c r="D3" s="13" t="n">
        <f aca="false">Parts!$H$12</f>
        <v>0.8</v>
      </c>
      <c r="E3" s="14" t="n">
        <f aca="false">B3/(Settings!$B$3*D3)</f>
        <v>200</v>
      </c>
      <c r="F3" s="14" t="n">
        <f aca="false">B3/(Settings!$B$3*D3+Settings!$B$4)</f>
        <v>50</v>
      </c>
      <c r="G3" s="14" t="n">
        <f aca="false">B3/(2*Settings!$B$3*D3+Settings!$B$4)</f>
        <v>40</v>
      </c>
    </row>
    <row r="4" customFormat="false" ht="15" hidden="false" customHeight="false" outlineLevel="0" collapsed="false">
      <c r="A4" s="2" t="s">
        <v>64</v>
      </c>
      <c r="B4" s="5" t="n">
        <f aca="false">Parts!$F$8</f>
        <v>80</v>
      </c>
      <c r="C4" s="2" t="s">
        <v>74</v>
      </c>
      <c r="D4" s="13" t="n">
        <f aca="false">Parts!$H$13</f>
        <v>0.55</v>
      </c>
      <c r="E4" s="14" t="n">
        <f aca="false">B4/(Settings!$B$3*D4)</f>
        <v>290.909090909091</v>
      </c>
      <c r="F4" s="14" t="n">
        <f aca="false">B4/(Settings!$B$3*D4+Settings!$B$4)</f>
        <v>54.2372881355932</v>
      </c>
      <c r="G4" s="14" t="n">
        <f aca="false">B4/(2*Settings!$B$3*D4+Settings!$B$4)</f>
        <v>45.7142857142857</v>
      </c>
    </row>
    <row r="5" customFormat="false" ht="15" hidden="false" customHeight="false" outlineLevel="0" collapsed="false">
      <c r="A5" s="2" t="s">
        <v>67</v>
      </c>
      <c r="B5" s="5" t="n">
        <f aca="false">Parts!$F$9</f>
        <v>140</v>
      </c>
      <c r="C5" s="2" t="s">
        <v>70</v>
      </c>
      <c r="D5" s="13" t="n">
        <f aca="false">Parts!$H$11</f>
        <v>1</v>
      </c>
      <c r="E5" s="14" t="n">
        <f aca="false">B5/(Settings!$B$3*D5)</f>
        <v>280</v>
      </c>
      <c r="F5" s="14" t="n">
        <f aca="false">B5/(Settings!$B$3*D5+Settings!$B$4)</f>
        <v>82.3529411764706</v>
      </c>
      <c r="G5" s="14" t="n">
        <f aca="false">B5/(2*Settings!$B$3*D5+Settings!$B$4)</f>
        <v>63.6363636363636</v>
      </c>
    </row>
    <row r="6" customFormat="false" ht="15" hidden="false" customHeight="false" outlineLevel="0" collapsed="false">
      <c r="A6" s="2" t="s">
        <v>67</v>
      </c>
      <c r="B6" s="5" t="n">
        <f aca="false">Parts!$F$9</f>
        <v>140</v>
      </c>
      <c r="C6" s="2" t="s">
        <v>73</v>
      </c>
      <c r="D6" s="13" t="n">
        <f aca="false">Parts!$H$12</f>
        <v>0.8</v>
      </c>
      <c r="E6" s="14" t="n">
        <f aca="false">B6/(Settings!$B$3*D6)</f>
        <v>350</v>
      </c>
      <c r="F6" s="14" t="n">
        <f aca="false">B6/(Settings!$B$3*D6+Settings!$B$4)</f>
        <v>87.5</v>
      </c>
      <c r="G6" s="14" t="n">
        <f aca="false">B6/(2*Settings!$B$3*D6+Settings!$B$4)</f>
        <v>70</v>
      </c>
    </row>
    <row r="7" customFormat="false" ht="15" hidden="false" customHeight="false" outlineLevel="0" collapsed="false">
      <c r="A7" s="2" t="s">
        <v>67</v>
      </c>
      <c r="B7" s="5" t="n">
        <f aca="false">Parts!$F$9</f>
        <v>140</v>
      </c>
      <c r="C7" s="2" t="s">
        <v>74</v>
      </c>
      <c r="D7" s="13" t="n">
        <f aca="false">Parts!$H$13</f>
        <v>0.55</v>
      </c>
      <c r="E7" s="14" t="n">
        <f aca="false">B7/(Settings!$B$3*D7)</f>
        <v>509.090909090909</v>
      </c>
      <c r="F7" s="14" t="n">
        <f aca="false">B7/(Settings!$B$3*D7+Settings!$B$4)</f>
        <v>94.9152542372881</v>
      </c>
      <c r="G7" s="14" t="n">
        <f aca="false">B7/(2*Settings!$B$3*D7+Settings!$B$4)</f>
        <v>80</v>
      </c>
    </row>
    <row r="8" customFormat="false" ht="15" hidden="false" customHeight="false" outlineLevel="0" collapsed="false">
      <c r="A8" s="2" t="s">
        <v>68</v>
      </c>
      <c r="B8" s="5" t="n">
        <f aca="false">Parts!$F$10</f>
        <v>240</v>
      </c>
      <c r="C8" s="2" t="s">
        <v>70</v>
      </c>
      <c r="D8" s="13" t="n">
        <f aca="false">Parts!$H$11</f>
        <v>1</v>
      </c>
      <c r="E8" s="14" t="n">
        <f aca="false">B8/(Settings!$B$3*D8)</f>
        <v>480</v>
      </c>
      <c r="F8" s="14" t="n">
        <f aca="false">B8/(Settings!$B$3*D8+Settings!$B$4)</f>
        <v>141.176470588235</v>
      </c>
      <c r="G8" s="14" t="n">
        <f aca="false">B8/(2*Settings!$B$3*D8+Settings!$B$4)</f>
        <v>109.090909090909</v>
      </c>
    </row>
    <row r="9" customFormat="false" ht="15" hidden="false" customHeight="false" outlineLevel="0" collapsed="false">
      <c r="A9" s="2" t="s">
        <v>68</v>
      </c>
      <c r="B9" s="5" t="n">
        <f aca="false">Parts!$F$10</f>
        <v>240</v>
      </c>
      <c r="C9" s="2" t="s">
        <v>73</v>
      </c>
      <c r="D9" s="13" t="n">
        <f aca="false">Parts!$H$12</f>
        <v>0.8</v>
      </c>
      <c r="E9" s="14" t="n">
        <f aca="false">B9/(Settings!$B$3*D9)</f>
        <v>600</v>
      </c>
      <c r="F9" s="14" t="n">
        <f aca="false">B9/(Settings!$B$3*D9+Settings!$B$4)</f>
        <v>150</v>
      </c>
      <c r="G9" s="14" t="n">
        <f aca="false">B9/(2*Settings!$B$3*D9+Settings!$B$4)</f>
        <v>120</v>
      </c>
    </row>
    <row r="10" customFormat="false" ht="15" hidden="false" customHeight="false" outlineLevel="0" collapsed="false">
      <c r="A10" s="2" t="s">
        <v>68</v>
      </c>
      <c r="B10" s="5" t="n">
        <f aca="false">Parts!$F$10</f>
        <v>240</v>
      </c>
      <c r="C10" s="2" t="s">
        <v>74</v>
      </c>
      <c r="D10" s="13" t="n">
        <f aca="false">Parts!$H$13</f>
        <v>0.55</v>
      </c>
      <c r="E10" s="14" t="n">
        <f aca="false">B10/(Settings!$B$3*D10)</f>
        <v>872.727272727273</v>
      </c>
      <c r="F10" s="14" t="n">
        <f aca="false">B10/(Settings!$B$3*D10+Settings!$B$4)</f>
        <v>162.71186440678</v>
      </c>
      <c r="G10" s="14" t="n">
        <f aca="false">B10/(2*Settings!$B$3*D10+Settings!$B$4)</f>
        <v>137.142857142857</v>
      </c>
    </row>
    <row r="12" customFormat="false" ht="15" hidden="false" customHeight="false" outlineLevel="0" collapsed="false">
      <c r="A12" s="7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30"/>
  </cols>
  <sheetData>
    <row r="1" customFormat="false" ht="26.85" hidden="false" customHeight="false" outlineLevel="0" collapsed="false">
      <c r="A1" s="6" t="s">
        <v>105</v>
      </c>
      <c r="B1" s="6" t="s">
        <v>106</v>
      </c>
      <c r="C1" s="6" t="s">
        <v>107</v>
      </c>
      <c r="D1" s="6" t="s">
        <v>48</v>
      </c>
      <c r="E1" s="6" t="s">
        <v>108</v>
      </c>
      <c r="F1" s="6" t="s">
        <v>109</v>
      </c>
    </row>
    <row r="2" customFormat="false" ht="15" hidden="false" customHeight="false" outlineLevel="0" collapsed="false">
      <c r="A2" s="2" t="n">
        <v>1</v>
      </c>
      <c r="B2" s="5" t="n">
        <f aca="false">A2*Settings!$B$8</f>
        <v>25</v>
      </c>
      <c r="C2" s="5" t="n">
        <f aca="false">Settings!$B$7-1+B2</f>
        <v>28</v>
      </c>
      <c r="D2" s="15" t="n">
        <f aca="false">ROUND(Settings!$B$9*Settings!$B$10^(A2-1),0)</f>
        <v>80</v>
      </c>
      <c r="E2" s="10" t="n">
        <f aca="false">SUM($D$2:D2)</f>
        <v>80</v>
      </c>
      <c r="F2" s="5" t="n">
        <f aca="false">Settings!$B$8</f>
        <v>25</v>
      </c>
    </row>
    <row r="3" customFormat="false" ht="15" hidden="false" customHeight="false" outlineLevel="0" collapsed="false">
      <c r="A3" s="2" t="n">
        <v>2</v>
      </c>
      <c r="B3" s="5" t="n">
        <f aca="false">A3*Settings!$B$8</f>
        <v>50</v>
      </c>
      <c r="C3" s="5" t="n">
        <f aca="false">Settings!$B$7-1+B3</f>
        <v>53</v>
      </c>
      <c r="D3" s="15" t="n">
        <f aca="false">ROUND(Settings!$B$9*Settings!$B$10^(A3-1),0)</f>
        <v>128</v>
      </c>
      <c r="E3" s="10" t="n">
        <f aca="false">SUM($D$2:D3)</f>
        <v>208</v>
      </c>
      <c r="F3" s="5" t="n">
        <f aca="false">Settings!$B$8</f>
        <v>25</v>
      </c>
    </row>
    <row r="4" customFormat="false" ht="15" hidden="false" customHeight="false" outlineLevel="0" collapsed="false">
      <c r="A4" s="2" t="n">
        <v>3</v>
      </c>
      <c r="B4" s="5" t="n">
        <f aca="false">A4*Settings!$B$8</f>
        <v>75</v>
      </c>
      <c r="C4" s="5" t="n">
        <f aca="false">Settings!$B$7-1+B4</f>
        <v>78</v>
      </c>
      <c r="D4" s="15" t="n">
        <f aca="false">ROUND(Settings!$B$9*Settings!$B$10^(A4-1),0)</f>
        <v>205</v>
      </c>
      <c r="E4" s="10" t="n">
        <f aca="false">SUM($D$2:D4)</f>
        <v>413</v>
      </c>
      <c r="F4" s="5" t="n">
        <f aca="false">Settings!$B$8</f>
        <v>25</v>
      </c>
    </row>
    <row r="5" customFormat="false" ht="15" hidden="false" customHeight="false" outlineLevel="0" collapsed="false">
      <c r="A5" s="2" t="n">
        <v>4</v>
      </c>
      <c r="B5" s="5" t="n">
        <f aca="false">A5*Settings!$B$8</f>
        <v>100</v>
      </c>
      <c r="C5" s="5" t="n">
        <f aca="false">Settings!$B$7-1+B5</f>
        <v>103</v>
      </c>
      <c r="D5" s="15" t="n">
        <f aca="false">ROUND(Settings!$B$9*Settings!$B$10^(A5-1),0)</f>
        <v>328</v>
      </c>
      <c r="E5" s="10" t="n">
        <f aca="false">SUM($D$2:D5)</f>
        <v>741</v>
      </c>
      <c r="F5" s="5" t="n">
        <f aca="false">Settings!$B$8</f>
        <v>25</v>
      </c>
    </row>
    <row r="6" customFormat="false" ht="15" hidden="false" customHeight="false" outlineLevel="0" collapsed="false">
      <c r="A6" s="2" t="n">
        <v>5</v>
      </c>
      <c r="B6" s="5" t="n">
        <f aca="false">A6*Settings!$B$8</f>
        <v>125</v>
      </c>
      <c r="C6" s="5" t="n">
        <f aca="false">Settings!$B$7-1+B6</f>
        <v>128</v>
      </c>
      <c r="D6" s="15" t="n">
        <f aca="false">ROUND(Settings!$B$9*Settings!$B$10^(A6-1),0)</f>
        <v>524</v>
      </c>
      <c r="E6" s="10" t="n">
        <f aca="false">SUM($D$2:D6)</f>
        <v>1265</v>
      </c>
      <c r="F6" s="5" t="n">
        <f aca="false">Settings!$B$8</f>
        <v>25</v>
      </c>
    </row>
    <row r="8" customFormat="false" ht="15" hidden="false" customHeight="false" outlineLevel="0" collapsed="false">
      <c r="A8" s="3" t="s">
        <v>110</v>
      </c>
      <c r="B8" s="5" t="n">
        <f aca="false">Settings!$B$11-Settings!$B$7+1</f>
        <v>153</v>
      </c>
      <c r="C8" s="5" t="n">
        <f aca="false">Settings!$B$11</f>
        <v>156</v>
      </c>
    </row>
    <row r="9" customFormat="false" ht="15" hidden="false" customHeight="false" outlineLevel="0" collapsed="false">
      <c r="A9" s="2" t="s">
        <v>111</v>
      </c>
      <c r="B9" s="2" t="n">
        <f aca="false">B8-B6</f>
        <v>28</v>
      </c>
    </row>
    <row r="11" customFormat="false" ht="15" hidden="false" customHeight="false" outlineLevel="0" collapsed="false">
      <c r="A11" s="7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15"/>
    <col collapsed="false" customWidth="true" hidden="false" outlineLevel="0" max="6" min="6" style="0" width="24"/>
    <col collapsed="false" customWidth="true" hidden="false" outlineLevel="0" max="7" min="7" style="0" width="18"/>
  </cols>
  <sheetData>
    <row r="1" customFormat="false" ht="15" hidden="false" customHeight="false" outlineLevel="0" collapsed="false">
      <c r="A1" s="6" t="s">
        <v>14</v>
      </c>
      <c r="B1" s="6" t="s">
        <v>15</v>
      </c>
    </row>
    <row r="2" customFormat="false" ht="15" hidden="false" customHeight="false" outlineLevel="0" collapsed="false">
      <c r="A2" s="2" t="s">
        <v>113</v>
      </c>
      <c r="B2" s="4" t="n">
        <v>1.4</v>
      </c>
    </row>
    <row r="3" customFormat="false" ht="15" hidden="false" customHeight="false" outlineLevel="0" collapsed="false">
      <c r="A3" s="2" t="s">
        <v>114</v>
      </c>
      <c r="B3" s="8" t="n">
        <v>0.3</v>
      </c>
    </row>
    <row r="4" customFormat="false" ht="15" hidden="false" customHeight="false" outlineLevel="0" collapsed="false">
      <c r="A4" s="2" t="s">
        <v>115</v>
      </c>
      <c r="B4" s="4" t="n">
        <v>2</v>
      </c>
    </row>
    <row r="5" customFormat="false" ht="15" hidden="false" customHeight="false" outlineLevel="0" collapsed="false">
      <c r="A5" s="2" t="s">
        <v>116</v>
      </c>
      <c r="B5" s="8" t="n">
        <v>0.12</v>
      </c>
    </row>
    <row r="6" customFormat="false" ht="15" hidden="false" customHeight="false" outlineLevel="0" collapsed="false">
      <c r="A6" s="2" t="s">
        <v>117</v>
      </c>
      <c r="B6" s="4" t="n">
        <v>5</v>
      </c>
    </row>
    <row r="7" customFormat="false" ht="15" hidden="false" customHeight="false" outlineLevel="0" collapsed="false">
      <c r="A7" s="2" t="s">
        <v>118</v>
      </c>
      <c r="B7" s="8" t="n">
        <v>0.08</v>
      </c>
    </row>
    <row r="8" customFormat="false" ht="15" hidden="false" customHeight="false" outlineLevel="0" collapsed="false">
      <c r="A8" s="2" t="s">
        <v>119</v>
      </c>
      <c r="B8" s="4" t="n">
        <v>120</v>
      </c>
    </row>
    <row r="9" customFormat="false" ht="15" hidden="false" customHeight="false" outlineLevel="0" collapsed="false">
      <c r="A9" s="2" t="s">
        <v>120</v>
      </c>
      <c r="B9" s="4" t="n">
        <v>1.8</v>
      </c>
    </row>
    <row r="11" customFormat="false" ht="26.85" hidden="false" customHeight="false" outlineLevel="0" collapsed="false">
      <c r="A11" s="6" t="s">
        <v>121</v>
      </c>
      <c r="B11" s="6" t="s">
        <v>122</v>
      </c>
      <c r="C11" s="6" t="s">
        <v>123</v>
      </c>
      <c r="D11" s="6" t="s">
        <v>124</v>
      </c>
      <c r="E11" s="6" t="s">
        <v>125</v>
      </c>
      <c r="F11" s="6" t="s">
        <v>126</v>
      </c>
      <c r="G11" s="6" t="s">
        <v>127</v>
      </c>
    </row>
    <row r="12" customFormat="false" ht="15" hidden="false" customHeight="false" outlineLevel="0" collapsed="false">
      <c r="A12" s="2" t="n">
        <v>1</v>
      </c>
      <c r="B12" s="16" t="n">
        <f aca="false">$B$2/(1+$B$3*(A12-1))</f>
        <v>1.4</v>
      </c>
      <c r="C12" s="17" t="n">
        <f aca="false">$B$4*(1+0.5*(A12-1))</f>
        <v>2</v>
      </c>
      <c r="D12" s="10" t="n">
        <f aca="false">C12*(1+$B$5*($B$6-1))/B12*60</f>
        <v>126.857142857143</v>
      </c>
      <c r="E12" s="18" t="n">
        <f aca="false">$B$7*A12</f>
        <v>0.08</v>
      </c>
      <c r="F12" s="7" t="s">
        <v>128</v>
      </c>
      <c r="G12" s="2" t="n">
        <v>0</v>
      </c>
    </row>
    <row r="13" customFormat="false" ht="15" hidden="false" customHeight="false" outlineLevel="0" collapsed="false">
      <c r="A13" s="2" t="n">
        <v>2</v>
      </c>
      <c r="B13" s="16" t="n">
        <f aca="false">$B$2/(1+$B$3*(A13-1))</f>
        <v>1.07692307692308</v>
      </c>
      <c r="C13" s="17" t="n">
        <f aca="false">$B$4*(1+0.5*(A13-1))</f>
        <v>3</v>
      </c>
      <c r="D13" s="10" t="n">
        <f aca="false">C13*(1+$B$5*($B$6-1))/B13*60</f>
        <v>247.371428571429</v>
      </c>
      <c r="E13" s="18" t="n">
        <f aca="false">$B$7*A13</f>
        <v>0.16</v>
      </c>
      <c r="F13" s="10" t="n">
        <f aca="false">ROUND($B$8*$B$9^(A13-2),0)</f>
        <v>120</v>
      </c>
      <c r="G13" s="10" t="n">
        <f aca="false">G12+F13</f>
        <v>120</v>
      </c>
    </row>
    <row r="14" customFormat="false" ht="15" hidden="false" customHeight="false" outlineLevel="0" collapsed="false">
      <c r="A14" s="2" t="n">
        <v>3</v>
      </c>
      <c r="B14" s="16" t="n">
        <f aca="false">$B$2/(1+$B$3*(A14-1))</f>
        <v>0.875</v>
      </c>
      <c r="C14" s="17" t="n">
        <f aca="false">$B$4*(1+0.5*(A14-1))</f>
        <v>4</v>
      </c>
      <c r="D14" s="10" t="n">
        <f aca="false">C14*(1+$B$5*($B$6-1))/B14*60</f>
        <v>405.942857142857</v>
      </c>
      <c r="E14" s="18" t="n">
        <f aca="false">$B$7*A14</f>
        <v>0.24</v>
      </c>
      <c r="F14" s="10" t="n">
        <f aca="false">ROUND($B$8*$B$9^(A14-2),0)</f>
        <v>216</v>
      </c>
      <c r="G14" s="10" t="n">
        <f aca="false">G13+F14</f>
        <v>336</v>
      </c>
    </row>
    <row r="15" customFormat="false" ht="15" hidden="false" customHeight="false" outlineLevel="0" collapsed="false">
      <c r="A15" s="2" t="n">
        <v>4</v>
      </c>
      <c r="B15" s="16" t="n">
        <f aca="false">$B$2/(1+$B$3*(A15-1))</f>
        <v>0.736842105263158</v>
      </c>
      <c r="C15" s="17" t="n">
        <f aca="false">$B$4*(1+0.5*(A15-1))</f>
        <v>5</v>
      </c>
      <c r="D15" s="10" t="n">
        <f aca="false">C15*(1+$B$5*($B$6-1))/B15*60</f>
        <v>602.571428571429</v>
      </c>
      <c r="E15" s="18" t="n">
        <f aca="false">$B$7*A15</f>
        <v>0.32</v>
      </c>
      <c r="F15" s="10" t="n">
        <f aca="false">ROUND($B$8*$B$9^(A15-2),0)</f>
        <v>389</v>
      </c>
      <c r="G15" s="10" t="n">
        <f aca="false">G14+F15</f>
        <v>725</v>
      </c>
    </row>
    <row r="16" customFormat="false" ht="15" hidden="false" customHeight="false" outlineLevel="0" collapsed="false">
      <c r="A16" s="2" t="n">
        <v>5</v>
      </c>
      <c r="B16" s="16" t="n">
        <f aca="false">$B$2/(1+$B$3*(A16-1))</f>
        <v>0.636363636363636</v>
      </c>
      <c r="C16" s="17" t="n">
        <f aca="false">$B$4*(1+0.5*(A16-1))</f>
        <v>6</v>
      </c>
      <c r="D16" s="10" t="n">
        <f aca="false">C16*(1+$B$5*($B$6-1))/B16*60</f>
        <v>837.257142857143</v>
      </c>
      <c r="E16" s="18" t="n">
        <f aca="false">$B$7*A16</f>
        <v>0.4</v>
      </c>
      <c r="F16" s="10" t="n">
        <f aca="false">ROUND($B$8*$B$9^(A16-2),0)</f>
        <v>700</v>
      </c>
      <c r="G16" s="10" t="n">
        <f aca="false">G15+F16</f>
        <v>1425</v>
      </c>
    </row>
    <row r="17" customFormat="false" ht="15" hidden="false" customHeight="false" outlineLevel="0" collapsed="false">
      <c r="A17" s="2" t="n">
        <v>6</v>
      </c>
      <c r="B17" s="16" t="n">
        <f aca="false">$B$2/(1+$B$3*(A17-1))</f>
        <v>0.56</v>
      </c>
      <c r="C17" s="17" t="n">
        <f aca="false">$B$4*(1+0.5*(A17-1))</f>
        <v>7</v>
      </c>
      <c r="D17" s="10" t="n">
        <f aca="false">C17*(1+$B$5*($B$6-1))/B17*60</f>
        <v>1110</v>
      </c>
      <c r="E17" s="18" t="n">
        <f aca="false">$B$7*A17</f>
        <v>0.48</v>
      </c>
      <c r="F17" s="10" t="n">
        <f aca="false">ROUND($B$8*$B$9^(A17-2),0)</f>
        <v>1260</v>
      </c>
      <c r="G17" s="10" t="n">
        <f aca="false">G16+F17</f>
        <v>2685</v>
      </c>
    </row>
    <row r="18" customFormat="false" ht="15" hidden="false" customHeight="false" outlineLevel="0" collapsed="false">
      <c r="A18" s="2" t="n">
        <v>7</v>
      </c>
      <c r="B18" s="16" t="n">
        <f aca="false">$B$2/(1+$B$3*(A18-1))</f>
        <v>0.5</v>
      </c>
      <c r="C18" s="17" t="n">
        <f aca="false">$B$4*(1+0.5*(A18-1))</f>
        <v>8</v>
      </c>
      <c r="D18" s="10" t="n">
        <f aca="false">C18*(1+$B$5*($B$6-1))/B18*60</f>
        <v>1420.8</v>
      </c>
      <c r="E18" s="18" t="n">
        <f aca="false">$B$7*A18</f>
        <v>0.56</v>
      </c>
      <c r="F18" s="10" t="n">
        <f aca="false">ROUND($B$8*$B$9^(A18-2),0)</f>
        <v>2267</v>
      </c>
      <c r="G18" s="10" t="n">
        <f aca="false">G17+F18</f>
        <v>4952</v>
      </c>
    </row>
    <row r="19" customFormat="false" ht="15" hidden="false" customHeight="false" outlineLevel="0" collapsed="false">
      <c r="A19" s="2" t="n">
        <v>8</v>
      </c>
      <c r="B19" s="16" t="n">
        <f aca="false">$B$2/(1+$B$3*(A19-1))</f>
        <v>0.451612903225806</v>
      </c>
      <c r="C19" s="17" t="n">
        <f aca="false">$B$4*(1+0.5*(A19-1))</f>
        <v>9</v>
      </c>
      <c r="D19" s="10" t="n">
        <f aca="false">C19*(1+$B$5*($B$6-1))/B19*60</f>
        <v>1769.65714285714</v>
      </c>
      <c r="E19" s="18" t="n">
        <f aca="false">$B$7*A19</f>
        <v>0.64</v>
      </c>
      <c r="F19" s="10" t="n">
        <f aca="false">ROUND($B$8*$B$9^(A19-2),0)</f>
        <v>4081</v>
      </c>
      <c r="G19" s="10" t="n">
        <f aca="false">G18+F19</f>
        <v>9033</v>
      </c>
    </row>
    <row r="20" customFormat="false" ht="15" hidden="false" customHeight="false" outlineLevel="0" collapsed="false">
      <c r="A20" s="2" t="n">
        <v>9</v>
      </c>
      <c r="B20" s="16" t="n">
        <f aca="false">$B$2/(1+$B$3*(A20-1))</f>
        <v>0.411764705882353</v>
      </c>
      <c r="C20" s="17" t="n">
        <f aca="false">$B$4*(1+0.5*(A20-1))</f>
        <v>10</v>
      </c>
      <c r="D20" s="10" t="n">
        <f aca="false">C20*(1+$B$5*($B$6-1))/B20*60</f>
        <v>2156.57142857143</v>
      </c>
      <c r="E20" s="18" t="n">
        <f aca="false">$B$7*A20</f>
        <v>0.72</v>
      </c>
      <c r="F20" s="10" t="n">
        <f aca="false">ROUND($B$8*$B$9^(A20-2),0)</f>
        <v>7347</v>
      </c>
      <c r="G20" s="10" t="n">
        <f aca="false">G19+F20</f>
        <v>16380</v>
      </c>
    </row>
    <row r="21" customFormat="false" ht="15" hidden="false" customHeight="false" outlineLevel="0" collapsed="false">
      <c r="A21" s="2" t="n">
        <v>10</v>
      </c>
      <c r="B21" s="16" t="n">
        <f aca="false">$B$2/(1+$B$3*(A21-1))</f>
        <v>0.378378378378378</v>
      </c>
      <c r="C21" s="17" t="n">
        <f aca="false">$B$4*(1+0.5*(A21-1))</f>
        <v>11</v>
      </c>
      <c r="D21" s="10" t="n">
        <f aca="false">C21*(1+$B$5*($B$6-1))/B21*60</f>
        <v>2581.54285714286</v>
      </c>
      <c r="E21" s="18" t="n">
        <f aca="false">$B$7*A21</f>
        <v>0.8</v>
      </c>
      <c r="F21" s="10" t="n">
        <f aca="false">ROUND($B$8*$B$9^(A21-2),0)</f>
        <v>13224</v>
      </c>
      <c r="G21" s="10" t="n">
        <f aca="false">G20+F21</f>
        <v>29604</v>
      </c>
    </row>
    <row r="23" customFormat="false" ht="15" hidden="false" customHeight="false" outlineLevel="0" collapsed="false">
      <c r="A23" s="7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2026-10-12T22:09:19Z</dcterms:created>
  <dc:creator>openpyxl</dc:creator>
  <dc:description/>
  <dc:language>en-US</dc:language>
  <cp:lastModifiedBy/>
  <dcterms:modified xsi:type="dcterms:W3CDTF">2026-10-12T22:09:19Z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