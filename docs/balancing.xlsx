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Ore" sheetId="5" state="visible" r:id="rId7"/>
    <sheet name="Dig times" sheetId="6" state="visible" r:id="rId8"/>
    <sheet name="Battery" sheetId="7" state="visible" r:id="rId9"/>
    <sheet name="Progress" sheetId="8" state="visible" r:id="rId10"/>
    <sheet name="Pet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<sst xmlns="http://schemas.openxmlformats.org/spreadsheetml/2006/main" count="260" uniqueCount="194">
  <si>
    <t xml:space="preserve">Bolt &amp; Burrow — balancing sheet (v0.7)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</si>
  <si>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</si>
  <si>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</si>
  <si>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</si>
  <si>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</si>
  <si>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</si>
  <si>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</si>
  <si>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</si>
  <si>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bridges, caches, depth bonus)</t>
  </si>
  <si>
    <t xml:space="preserve">Caves – the three caves: ore and hard-rock chances, value multiplier, relic, outpost, bridge and cache payouts</t>
  </si>
  <si>
    <t xml:space="preserve">Parts – every part, its cost and stats, and the total cost to max each slot</t>
  </si>
  <si>
    <t xml:space="preserve">Ore – what each ore sells for at the start, outpost and end of each cave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</si>
  <si>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</si>
  <si>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</si>
  <si>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</si>
  <si>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Pet – Pip the Mole: earnings and training cost per level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</si>
  <si>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</si>
  <si>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</si>
  <si>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</si>
  <si>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</si>
  <si>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</si>
  <si>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</si>
  <si>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</si>
  <si>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</si>
  <si>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</si>
  <si>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</si>
  <si>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</si>
  <si>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Ore depth bonus</t>
  </si>
  <si>
    <t xml:space="preserve">Ore is worth +100% for every this many blocks of depth (ORE_DEPTH_BONUS)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</si>
  <si>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</si>
  <si>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</si>
  <si>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</si>
  <si>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</si>
  <si>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</si>
  <si>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</si>
  <si>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</si>
  <si>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</si>
  <si>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</si>
  <si>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</si>
  <si>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</si>
  <si>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</si>
  <si>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</si>
  <si>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</si>
  <si>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</si>
  <si>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</si>
  <si>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</si>
  <si>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</si>
  <si>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</si>
  <si>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</si>
  <si>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</si>
  <si>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</si>
  <si>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</si>
  <si>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</si>
  <si>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</si>
  <si>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</si>
  <si>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Cave</t>
  </si>
  <si>
    <t xml:space="preserve">Name</t>
  </si>
  <si>
    <t xml:space="preserve">Ore value ×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</si>
  <si>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</si>
  <si>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</si>
  <si>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</si>
  <si>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</si>
  <si>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</si>
  <si>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</si>
  <si>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</si>
  <si>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</si>
  <si>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</si>
  <si>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</si>
  <si>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</si>
  <si>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</si>
  <si>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</si>
  <si>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</si>
  <si>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</si>
  <si>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</si>
  <si>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</si>
  <si>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</si>
  <si>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</si>
  <si>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</si>
  <si>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</si>
  <si>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</si>
  <si>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</si>
  <si>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</si>
  <si>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</si>
  <si>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</si>
  <si>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</si>
  <si>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</si>
  <si>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</si>
  <si>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</si>
  <si>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</si>
  <si>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</si>
  <si>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</si>
  <si>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</si>
  <si>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</si>
  <si>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</si>
  <si>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</si>
  <si>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</si>
  <si>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</si>
  <si>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</si>
  <si>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</si>
  <si>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</si>
  <si>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</si>
  <si>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</si>
  <si>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</si>
  <si>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</si>
  <si>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</si>
  <si>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</si>
  <si>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</si>
  <si>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</si>
  <si>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</si>
  <si>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</si>
  <si>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</si>
  <si>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</si>
  <si>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</si>
  <si>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</si>
  <si>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</si>
  <si>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</si>
  <si>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</si>
  <si>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</si>
  <si>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</si>
  <si>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</si>
  <si>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</si>
  <si>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</si>
  <si>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</si>
  <si>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</si>
  <si>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Ore</t>
  </si>
  <si>
    <t xml:space="preserve">Base value</t>
  </si>
  <si>
    <t xml:space="preserve">At the mouth (1 m)</t>
  </si>
  <si>
    <t xml:space="preserve">At the outpost (25 m)</t>
  </si>
  <si>
    <t xml:space="preserve">At the relic (54 m)</t>
  </si>
  <si>
    <t xml:space="preserve">Copper</t>
  </si>
  <si>
    <t xml:space="preserve">Silver</t>
  </si>
  <si>
    <t xml:space="preserve">Gold</t>
  </si>
  <si>
    <t xml:space="preserve">Crystal</t>
  </si>
  <si>
    <t xml:space="preserve">Value = base value × cave multiplier × (1 + depth ÷ ore depth bonus). Caches pay in the cave's best (second) ore.</t>
  </si>
  <si>
    <t xml:space="preserve">Block</t>
  </si>
  <si>
    <t xml:space="preserve">Toughness (hp)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</si>
  <si>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</si>
  <si>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</si>
  <si>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</si>
  <si>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</si>
  <si>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Dirt</t>
  </si>
  <si>
    <t xml:space="preserve">Clay</t>
  </si>
  <si>
    <t xml:space="preserve">Stone</t>
  </si>
  <si>
    <t xml:space="preserve">Basalt</t>
  </si>
  <si>
    <t xml:space="preserve">Unstable rock</t>
  </si>
  <si>
    <t xml:space="preserve">Rubble</t>
  </si>
  <si>
    <t xml:space="preserve">Treasure cache</t>
  </si>
  <si>
    <t xml:space="preserve">Granite</t>
  </si>
  <si>
    <t xml:space="preserve">Obsidian</t>
  </si>
  <si>
    <t xml:space="preserve">Ignores the pet bonus (+8% dig power per pet level).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</si>
  <si>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</si>
  <si>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</si>
  <si>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</si>
  <si>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</si>
  <si>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</si>
  <si>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</si>
  <si>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</si>
  <si>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</si>
  <si>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</si>
  <si>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</si>
  <si>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</si>
  <si>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</si>
  <si>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</si>
  <si>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</si>
  <si>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</si>
  <si>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</si>
  <si>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</si>
  <si>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</si>
  <si>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</si>
  <si>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</si>
  <si>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</si>
  <si>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</si>
  <si>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</si>
  <si>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</si>
  <si>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</si>
  <si>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</si>
  <si>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v0.7</t>
  </si>
  <si>
    <t xml:space="preserve">Spending only (ore income not counted). A negative running total is the ore you need to earn by digging before that step.</t>
  </si>
  <si>
    <t xml:space="preserve">Seconds per block at level 1</t>
  </si>
  <si>
    <t xml:space="preserve">Dig speed per level</t>
  </si>
  <si>
    <t xml:space="preserve">Coins per block at level 1</t>
  </si>
  <si>
    <t xml:space="preserve">Ore chance</t>
  </si>
  <si>
    <t xml:space="preserve">Ore multiplier</t>
  </si>
  <si>
    <t xml:space="preserve">Dig bonus to walker per level</t>
  </si>
  <si>
    <t xml:space="preserve">First training cost</t>
  </si>
  <si>
    <t xml:space="preserve">Training cost growth</t>
  </si>
  <si>
    <t xml:space="preserve">Level</t>
  </si>
  <si>
    <t xml:space="preserve">Seconds per block</t>
  </si>
  <si>
    <t xml:space="preserve">Coins per block</t>
  </si>
  <si>
    <t xml:space="preserve">Coins per minute</t>
  </si>
  <si>
    <t xml:space="preserve">Walker dig bonus</t>
  </si>
  <si>
    <t xml:space="preserve">Cost to train to this level</t>
  </si>
  <si>
    <t xml:space="preserve">Cumulative training</t>
  </si>
  <si>
    <t xml:space="preserve">Hatched from the fossil (cave 1)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</si>
</sst>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0"/>
    <numFmt numFmtId="170" formatCode="0"/>
    <numFmt numFmtId="171" formatCode="#,##0;\(#,##0\);\-"/>
    <numFmt numFmtId="172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6" t="s">
        <v>16</v>
      </c>
      <c r="B1" s="6" t="s">
        <v>17</v>
      </c>
      <c r="C1" s="6" t="s">
        <v>18</v>
      </c>
    </row>
    <row r="2" customFormat="false" ht="15" hidden="false" customHeight="false" outlineLevel="0" collapsed="false">
      <c r="A2" s="2" t="s">
        <v>19</v>
      </c>
      <c r="B2" s="4" t="n">
        <v>4</v>
      </c>
      <c r="C2" s="7" t="s">
        <v>20</v>
      </c>
    </row>
    <row r="3" customFormat="false" ht="15" hidden="false" customHeight="false" outlineLevel="0" collapsed="false">
      <c r="A3" s="2" t="s">
        <v>21</v>
      </c>
      <c r="B3" s="4" t="n">
        <v>0.5</v>
      </c>
      <c r="C3" s="7" t="s">
        <v>22</v>
      </c>
    </row>
    <row r="4" customFormat="false" ht="15" hidden="false" customHeight="false" outlineLevel="0" collapsed="false">
      <c r="A4" s="2" t="s">
        <v>23</v>
      </c>
      <c r="B4" s="4" t="n">
        <v>1.2</v>
      </c>
      <c r="C4" s="7" t="s">
        <v>24</v>
      </c>
    </row>
    <row r="5" customFormat="false" ht="15" hidden="false" customHeight="false" outlineLevel="0" collapsed="false">
      <c r="A5" s="2" t="s">
        <v>25</v>
      </c>
      <c r="B5" s="4" t="n">
        <v>45</v>
      </c>
      <c r="C5" s="7" t="s">
        <v>26</v>
      </c>
    </row>
    <row r="6" customFormat="false" ht="15" hidden="false" customHeight="false" outlineLevel="0" collapsed="false">
      <c r="A6" s="2" t="s">
        <v>27</v>
      </c>
      <c r="B6" s="4" t="n">
        <v>60</v>
      </c>
      <c r="C6" s="7" t="s">
        <v>28</v>
      </c>
    </row>
    <row r="7" customFormat="false" ht="15" hidden="false" customHeight="false" outlineLevel="0" collapsed="false">
      <c r="A7" s="2" t="s">
        <v>29</v>
      </c>
      <c r="B7" s="4" t="n">
        <v>25</v>
      </c>
      <c r="C7" s="7" t="s">
        <v>30</v>
      </c>
    </row>
    <row r="8" customFormat="false" ht="15" hidden="false" customHeight="false" outlineLevel="0" collapsed="false">
      <c r="A8" s="2" t="s">
        <v>31</v>
      </c>
      <c r="B8" s="4" t="n">
        <v>80</v>
      </c>
      <c r="C8" s="7" t="s">
        <v>32</v>
      </c>
    </row>
    <row r="9" customFormat="false" ht="15" hidden="false" customHeight="false" outlineLevel="0" collapsed="false">
      <c r="A9" s="2" t="s">
        <v>33</v>
      </c>
      <c r="B9" s="4" t="n">
        <v>2.5</v>
      </c>
      <c r="C9" s="7" t="s">
        <v>34</v>
      </c>
    </row>
    <row r="10" customFormat="false" ht="15" hidden="false" customHeight="false" outlineLevel="0" collapsed="false">
      <c r="A10" s="2" t="s">
        <v>35</v>
      </c>
      <c r="B10" s="4" t="n">
        <v>60</v>
      </c>
      <c r="C10" s="7" t="s">
        <v>36</v>
      </c>
    </row>
    <row r="11" customFormat="false" ht="15" hidden="false" customHeight="false" outlineLevel="0" collapsed="false">
      <c r="A11" s="2" t="s">
        <v>37</v>
      </c>
      <c r="B11" s="4" t="n">
        <v>160</v>
      </c>
      <c r="C11" s="7" t="s">
        <v>38</v>
      </c>
    </row>
    <row r="12" customFormat="false" ht="15" hidden="false" customHeight="false" outlineLevel="0" collapsed="false">
      <c r="A12" s="2" t="s">
        <v>39</v>
      </c>
      <c r="B12" s="4" t="n">
        <v>2</v>
      </c>
      <c r="C12" s="7" t="s">
        <v>40</v>
      </c>
    </row>
    <row r="13" customFormat="false" ht="15" hidden="false" customHeight="false" outlineLevel="0" collapsed="false">
      <c r="A13" s="2" t="s">
        <v>41</v>
      </c>
      <c r="B13" s="4" t="n">
        <v>4</v>
      </c>
      <c r="C13" s="7" t="s">
        <v>42</v>
      </c>
    </row>
    <row r="14" customFormat="false" ht="15" hidden="false" customHeight="false" outlineLevel="0" collapsed="false">
      <c r="A14" s="2" t="s">
        <v>43</v>
      </c>
      <c r="B14" s="4" t="n">
        <v>54</v>
      </c>
      <c r="C14" s="7" t="s">
        <v>44</v>
      </c>
    </row>
    <row r="15" customFormat="false" ht="15" hidden="false" customHeight="false" outlineLevel="0" collapsed="false">
      <c r="A15" s="2" t="s">
        <v>45</v>
      </c>
      <c r="B15" s="8" t="n">
        <v>0.5</v>
      </c>
      <c r="C15" s="7" t="s">
        <v>46</v>
      </c>
    </row>
    <row r="16" customFormat="false" ht="15" hidden="false" customHeight="false" outlineLevel="0" collapsed="false">
      <c r="A16" s="2" t="s">
        <v>47</v>
      </c>
      <c r="B16" s="4" t="n">
        <v>0.4</v>
      </c>
      <c r="C16" s="7" t="s">
        <v>48</v>
      </c>
    </row>
    <row r="17" customFormat="false" ht="15" hidden="false" customHeight="false" outlineLevel="0" collapsed="false">
      <c r="A17" s="2" t="s">
        <v>49</v>
      </c>
      <c r="B17" s="4" t="n">
        <v>1.8</v>
      </c>
      <c r="C17" s="7" t="s">
        <v>50</v>
      </c>
    </row>
    <row r="18" customFormat="false" ht="15" hidden="false" customHeight="false" outlineLevel="0" collapsed="false">
      <c r="A18" s="2" t="s">
        <v>51</v>
      </c>
      <c r="B18" s="8" t="n">
        <v>0.25</v>
      </c>
      <c r="C18" s="7" t="s">
        <v>52</v>
      </c>
    </row>
    <row r="19" customFormat="false" ht="15" hidden="false" customHeight="false" outlineLevel="0" collapsed="false">
      <c r="A19" s="2" t="s">
        <v>53</v>
      </c>
      <c r="B19" s="8" t="n">
        <v>0.3</v>
      </c>
      <c r="C19" s="7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6" t="s">
        <v>55</v>
      </c>
      <c r="B1" s="6" t="s">
        <v>56</v>
      </c>
      <c r="C1" s="6" t="s">
        <v>57</v>
      </c>
      <c r="D1" s="6" t="s">
        <v>58</v>
      </c>
      <c r="E1" s="6" t="s">
        <v>59</v>
      </c>
      <c r="F1" s="6" t="s">
        <v>60</v>
      </c>
      <c r="G1" s="6" t="s">
        <v>61</v>
      </c>
      <c r="H1" s="6" t="s">
        <v>62</v>
      </c>
      <c r="I1" s="6" t="s">
        <v>63</v>
      </c>
      <c r="J1" s="6" t="s">
        <v>64</v>
      </c>
      <c r="K1" s="6" t="s">
        <v>65</v>
      </c>
      <c r="L1" s="6" t="s">
        <v>66</v>
      </c>
      <c r="M1" s="6" t="s">
        <v>67</v>
      </c>
      <c r="N1" s="6" t="s">
        <v>68</v>
      </c>
      <c r="O1" s="6" t="s">
        <v>69</v>
      </c>
      <c r="P1" s="6" t="s">
        <v>70</v>
      </c>
      <c r="Q1" s="6" t="s">
        <v>71</v>
      </c>
      <c r="R1" s="6" t="s">
        <v>72</v>
      </c>
      <c r="S1" s="6" t="s">
        <v>73</v>
      </c>
    </row>
    <row r="2" customFormat="false" ht="15" hidden="false" customHeight="false" outlineLevel="0" collapsed="false">
      <c r="A2" s="2" t="n">
        <v>1</v>
      </c>
      <c r="B2" s="2" t="s">
        <v>74</v>
      </c>
      <c r="C2" s="9" t="n">
        <v>1</v>
      </c>
      <c r="D2" s="2" t="s">
        <v>75</v>
      </c>
      <c r="E2" s="10" t="n">
        <v>0.06</v>
      </c>
      <c r="F2" s="2" t="s">
        <v>76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77</v>
      </c>
      <c r="N2" s="11" t="n">
        <v>300</v>
      </c>
      <c r="O2" s="12" t="n">
        <f aca="false">ROUND(Settings!$B$8*Settings!$B$9^(A2-1),0)</f>
        <v>80</v>
      </c>
      <c r="P2" s="4" t="n">
        <v>0</v>
      </c>
      <c r="Q2" s="12" t="n">
        <f aca="false">ROUND(Settings!$B$10*C2,0)</f>
        <v>60</v>
      </c>
      <c r="R2" s="12" t="n">
        <f aca="false">ROUND(Settings!$B$11*C2,0)</f>
        <v>160</v>
      </c>
      <c r="S2" s="2" t="s">
        <v>78</v>
      </c>
    </row>
    <row r="3" customFormat="false" ht="15" hidden="false" customHeight="false" outlineLevel="0" collapsed="false">
      <c r="A3" s="2" t="n">
        <v>2</v>
      </c>
      <c r="B3" s="2" t="s">
        <v>79</v>
      </c>
      <c r="C3" s="9" t="n">
        <v>2</v>
      </c>
      <c r="D3" s="2" t="s">
        <v>76</v>
      </c>
      <c r="E3" s="10" t="n">
        <v>0.05</v>
      </c>
      <c r="F3" s="2" t="s">
        <v>80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81</v>
      </c>
      <c r="N3" s="11" t="n">
        <v>800</v>
      </c>
      <c r="O3" s="12" t="n">
        <f aca="false">ROUND(Settings!$B$8*Settings!$B$9^(A3-1),0)</f>
        <v>200</v>
      </c>
      <c r="P3" s="4" t="n">
        <v>1</v>
      </c>
      <c r="Q3" s="12" t="n">
        <f aca="false">ROUND(Settings!$B$10*C3,0)</f>
        <v>120</v>
      </c>
      <c r="R3" s="12" t="n">
        <f aca="false">ROUND(Settings!$B$11*C3,0)</f>
        <v>320</v>
      </c>
      <c r="S3" s="2" t="s">
        <v>82</v>
      </c>
    </row>
    <row r="4" customFormat="false" ht="15" hidden="false" customHeight="false" outlineLevel="0" collapsed="false">
      <c r="A4" s="2" t="n">
        <v>3</v>
      </c>
      <c r="B4" s="2" t="s">
        <v>83</v>
      </c>
      <c r="C4" s="9" t="n">
        <v>3.5</v>
      </c>
      <c r="D4" s="2" t="s">
        <v>80</v>
      </c>
      <c r="E4" s="10" t="n">
        <v>0.05</v>
      </c>
      <c r="F4" s="2" t="s">
        <v>84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85</v>
      </c>
      <c r="N4" s="11" t="n">
        <v>2000</v>
      </c>
      <c r="O4" s="12" t="n">
        <f aca="false">ROUND(Settings!$B$8*Settings!$B$9^(A4-1),0)</f>
        <v>500</v>
      </c>
      <c r="P4" s="4" t="n">
        <v>2</v>
      </c>
      <c r="Q4" s="12" t="n">
        <f aca="false">ROUND(Settings!$B$10*C4,0)</f>
        <v>210</v>
      </c>
      <c r="R4" s="12" t="n">
        <f aca="false">ROUND(Settings!$B$11*C4,0)</f>
        <v>560</v>
      </c>
      <c r="S4" s="2" t="s">
        <v>86</v>
      </c>
    </row>
    <row r="6" customFormat="false" ht="15" hidden="false" customHeight="false" outlineLevel="0" collapsed="false">
      <c r="A6" s="7" t="s">
        <v>87</v>
      </c>
    </row>
    <row r="7" customFormat="false" ht="15" hidden="false" customHeight="false" outlineLevel="0" collapsed="false">
      <c r="A7" s="7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6" t="s">
        <v>89</v>
      </c>
      <c r="B1" s="6" t="s">
        <v>90</v>
      </c>
      <c r="C1" s="6" t="s">
        <v>91</v>
      </c>
      <c r="D1" s="6" t="s">
        <v>92</v>
      </c>
      <c r="E1" s="6" t="s">
        <v>93</v>
      </c>
      <c r="F1" s="6" t="s">
        <v>17</v>
      </c>
      <c r="G1" s="6" t="s">
        <v>94</v>
      </c>
      <c r="H1" s="6" t="s">
        <v>17</v>
      </c>
      <c r="I1" s="6" t="s">
        <v>95</v>
      </c>
    </row>
    <row r="2" customFormat="false" ht="15" hidden="false" customHeight="false" outlineLevel="0" collapsed="false">
      <c r="A2" s="2" t="s">
        <v>96</v>
      </c>
      <c r="B2" s="2" t="n">
        <v>1</v>
      </c>
      <c r="C2" s="2" t="s">
        <v>97</v>
      </c>
      <c r="D2" s="11" t="n">
        <v>0</v>
      </c>
      <c r="E2" s="2" t="s">
        <v>98</v>
      </c>
      <c r="F2" s="4" t="n">
        <v>2.5</v>
      </c>
      <c r="G2" s="2" t="s">
        <v>99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96</v>
      </c>
      <c r="B3" s="2" t="n">
        <v>2</v>
      </c>
      <c r="C3" s="2" t="s">
        <v>100</v>
      </c>
      <c r="D3" s="11" t="n">
        <v>120</v>
      </c>
      <c r="E3" s="2" t="s">
        <v>98</v>
      </c>
      <c r="F3" s="4" t="n">
        <v>4</v>
      </c>
      <c r="G3" s="2" t="s">
        <v>99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96</v>
      </c>
      <c r="B4" s="2" t="n">
        <v>3</v>
      </c>
      <c r="C4" s="2" t="s">
        <v>101</v>
      </c>
      <c r="D4" s="11" t="n">
        <v>1000</v>
      </c>
      <c r="E4" s="2" t="s">
        <v>98</v>
      </c>
      <c r="F4" s="4" t="n">
        <v>6</v>
      </c>
      <c r="G4" s="2" t="s">
        <v>99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102</v>
      </c>
      <c r="B5" s="2" t="n">
        <v>1</v>
      </c>
      <c r="C5" s="2" t="s">
        <v>103</v>
      </c>
      <c r="D5" s="11" t="n">
        <v>0</v>
      </c>
      <c r="E5" s="2" t="s">
        <v>104</v>
      </c>
      <c r="F5" s="4" t="n">
        <v>1</v>
      </c>
      <c r="G5" s="2" t="s">
        <v>105</v>
      </c>
      <c r="H5" s="2" t="s">
        <v>106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102</v>
      </c>
      <c r="B6" s="2" t="n">
        <v>2</v>
      </c>
      <c r="C6" s="2" t="s">
        <v>107</v>
      </c>
      <c r="D6" s="11" t="n">
        <v>60</v>
      </c>
      <c r="E6" s="2" t="s">
        <v>104</v>
      </c>
      <c r="F6" s="4" t="n">
        <v>3</v>
      </c>
      <c r="G6" s="2" t="s">
        <v>105</v>
      </c>
      <c r="H6" s="2" t="s">
        <v>108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102</v>
      </c>
      <c r="B7" s="2" t="n">
        <v>3</v>
      </c>
      <c r="C7" s="2" t="s">
        <v>109</v>
      </c>
      <c r="D7" s="11" t="n">
        <v>900</v>
      </c>
      <c r="E7" s="2" t="s">
        <v>104</v>
      </c>
      <c r="F7" s="4" t="n">
        <v>8</v>
      </c>
      <c r="G7" s="2" t="s">
        <v>105</v>
      </c>
      <c r="H7" s="2" t="s">
        <v>110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111</v>
      </c>
      <c r="B8" s="2" t="n">
        <v>1</v>
      </c>
      <c r="C8" s="2" t="s">
        <v>112</v>
      </c>
      <c r="D8" s="11" t="n">
        <v>0</v>
      </c>
      <c r="E8" s="2" t="s">
        <v>113</v>
      </c>
      <c r="F8" s="4" t="n">
        <v>80</v>
      </c>
      <c r="G8" s="2" t="s">
        <v>114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111</v>
      </c>
      <c r="B9" s="2" t="n">
        <v>2</v>
      </c>
      <c r="C9" s="2" t="s">
        <v>115</v>
      </c>
      <c r="D9" s="11" t="n">
        <v>150</v>
      </c>
      <c r="E9" s="2" t="s">
        <v>113</v>
      </c>
      <c r="F9" s="4" t="n">
        <v>140</v>
      </c>
      <c r="G9" s="2" t="s">
        <v>114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111</v>
      </c>
      <c r="B10" s="2" t="n">
        <v>3</v>
      </c>
      <c r="C10" s="2" t="s">
        <v>116</v>
      </c>
      <c r="D10" s="11" t="n">
        <v>1400</v>
      </c>
      <c r="E10" s="2" t="s">
        <v>113</v>
      </c>
      <c r="F10" s="4" t="n">
        <v>240</v>
      </c>
      <c r="G10" s="2" t="s">
        <v>114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117</v>
      </c>
      <c r="B11" s="2" t="n">
        <v>1</v>
      </c>
      <c r="C11" s="2" t="s">
        <v>118</v>
      </c>
      <c r="D11" s="11" t="n">
        <v>0</v>
      </c>
      <c r="E11" s="2" t="s">
        <v>119</v>
      </c>
      <c r="F11" s="4" t="n">
        <v>4</v>
      </c>
      <c r="G11" s="2" t="s">
        <v>120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117</v>
      </c>
      <c r="B12" s="2" t="n">
        <v>2</v>
      </c>
      <c r="C12" s="2" t="s">
        <v>121</v>
      </c>
      <c r="D12" s="11" t="n">
        <v>90</v>
      </c>
      <c r="E12" s="2" t="s">
        <v>119</v>
      </c>
      <c r="F12" s="4" t="n">
        <v>5.5</v>
      </c>
      <c r="G12" s="2" t="s">
        <v>120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117</v>
      </c>
      <c r="B13" s="2" t="n">
        <v>3</v>
      </c>
      <c r="C13" s="2" t="s">
        <v>122</v>
      </c>
      <c r="D13" s="11" t="n">
        <v>1200</v>
      </c>
      <c r="E13" s="2" t="s">
        <v>119</v>
      </c>
      <c r="F13" s="4" t="n">
        <v>7</v>
      </c>
      <c r="G13" s="2" t="s">
        <v>120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123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6" t="s">
        <v>55</v>
      </c>
      <c r="B1" s="6" t="s">
        <v>124</v>
      </c>
      <c r="C1" s="6" t="s">
        <v>125</v>
      </c>
      <c r="D1" s="6" t="s">
        <v>126</v>
      </c>
      <c r="E1" s="6" t="s">
        <v>127</v>
      </c>
      <c r="F1" s="6" t="s">
        <v>128</v>
      </c>
    </row>
    <row r="2" customFormat="false" ht="15" hidden="false" customHeight="false" outlineLevel="0" collapsed="false">
      <c r="A2" s="2" t="s">
        <v>74</v>
      </c>
      <c r="B2" s="2" t="s">
        <v>129</v>
      </c>
      <c r="C2" s="4" t="n">
        <v>5</v>
      </c>
      <c r="D2" s="12" t="n">
        <f aca="false">ROUND(C2*Caves!$C$2*(1+(1-1)/Settings!$B$6),0)</f>
        <v>5</v>
      </c>
      <c r="E2" s="12" t="n">
        <f aca="false">ROUND(C2*Caves!$C$2*(1+(25-1)/Settings!$B$6),0)</f>
        <v>7</v>
      </c>
      <c r="F2" s="12" t="n">
        <f aca="false">ROUND(C2*Caves!$C$2*(1+(54-1)/Settings!$B$6),0)</f>
        <v>9</v>
      </c>
    </row>
    <row r="3" customFormat="false" ht="15" hidden="false" customHeight="false" outlineLevel="0" collapsed="false">
      <c r="A3" s="2" t="s">
        <v>74</v>
      </c>
      <c r="B3" s="2" t="s">
        <v>130</v>
      </c>
      <c r="C3" s="4" t="n">
        <v>14</v>
      </c>
      <c r="D3" s="12" t="n">
        <f aca="false">ROUND(C3*Caves!$C$2*(1+(1-1)/Settings!$B$6),0)</f>
        <v>14</v>
      </c>
      <c r="E3" s="12" t="n">
        <f aca="false">ROUND(C3*Caves!$C$2*(1+(25-1)/Settings!$B$6),0)</f>
        <v>20</v>
      </c>
      <c r="F3" s="12" t="n">
        <f aca="false">ROUND(C3*Caves!$C$2*(1+(54-1)/Settings!$B$6),0)</f>
        <v>26</v>
      </c>
    </row>
    <row r="4" customFormat="false" ht="15" hidden="false" customHeight="false" outlineLevel="0" collapsed="false">
      <c r="A4" s="2" t="s">
        <v>79</v>
      </c>
      <c r="B4" s="2" t="s">
        <v>130</v>
      </c>
      <c r="C4" s="4" t="n">
        <v>14</v>
      </c>
      <c r="D4" s="12" t="n">
        <f aca="false">ROUND(C4*Caves!$C$3*(1+(1-1)/Settings!$B$6),0)</f>
        <v>28</v>
      </c>
      <c r="E4" s="12" t="n">
        <f aca="false">ROUND(C4*Caves!$C$3*(1+(25-1)/Settings!$B$6),0)</f>
        <v>39</v>
      </c>
      <c r="F4" s="12" t="n">
        <f aca="false">ROUND(C4*Caves!$C$3*(1+(54-1)/Settings!$B$6),0)</f>
        <v>53</v>
      </c>
    </row>
    <row r="5" customFormat="false" ht="15" hidden="false" customHeight="false" outlineLevel="0" collapsed="false">
      <c r="A5" s="2" t="s">
        <v>79</v>
      </c>
      <c r="B5" s="2" t="s">
        <v>131</v>
      </c>
      <c r="C5" s="4" t="n">
        <v>40</v>
      </c>
      <c r="D5" s="12" t="n">
        <f aca="false">ROUND(C5*Caves!$C$3*(1+(1-1)/Settings!$B$6),0)</f>
        <v>80</v>
      </c>
      <c r="E5" s="12" t="n">
        <f aca="false">ROUND(C5*Caves!$C$3*(1+(25-1)/Settings!$B$6),0)</f>
        <v>112</v>
      </c>
      <c r="F5" s="12" t="n">
        <f aca="false">ROUND(C5*Caves!$C$3*(1+(54-1)/Settings!$B$6),0)</f>
        <v>151</v>
      </c>
    </row>
    <row r="6" customFormat="false" ht="15" hidden="false" customHeight="false" outlineLevel="0" collapsed="false">
      <c r="A6" s="2" t="s">
        <v>83</v>
      </c>
      <c r="B6" s="2" t="s">
        <v>131</v>
      </c>
      <c r="C6" s="4" t="n">
        <v>40</v>
      </c>
      <c r="D6" s="12" t="n">
        <f aca="false">ROUND(C6*Caves!$C$4*(1+(1-1)/Settings!$B$6),0)</f>
        <v>140</v>
      </c>
      <c r="E6" s="12" t="n">
        <f aca="false">ROUND(C6*Caves!$C$4*(1+(25-1)/Settings!$B$6),0)</f>
        <v>196</v>
      </c>
      <c r="F6" s="12" t="n">
        <f aca="false">ROUND(C6*Caves!$C$4*(1+(54-1)/Settings!$B$6),0)</f>
        <v>264</v>
      </c>
    </row>
    <row r="7" customFormat="false" ht="15" hidden="false" customHeight="false" outlineLevel="0" collapsed="false">
      <c r="A7" s="2" t="s">
        <v>83</v>
      </c>
      <c r="B7" s="2" t="s">
        <v>132</v>
      </c>
      <c r="C7" s="4" t="n">
        <v>95</v>
      </c>
      <c r="D7" s="12" t="n">
        <f aca="false">ROUND(C7*Caves!$C$4*(1+(1-1)/Settings!$B$6),0)</f>
        <v>333</v>
      </c>
      <c r="E7" s="12" t="n">
        <f aca="false">ROUND(C7*Caves!$C$4*(1+(25-1)/Settings!$B$6),0)</f>
        <v>465</v>
      </c>
      <c r="F7" s="12" t="n">
        <f aca="false">ROUND(C7*Caves!$C$4*(1+(54-1)/Settings!$B$6),0)</f>
        <v>626</v>
      </c>
    </row>
    <row r="9" customFormat="false" ht="15" hidden="false" customHeight="false" outlineLevel="0" collapsed="false">
      <c r="A9" s="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6" t="s">
        <v>134</v>
      </c>
      <c r="B1" s="6" t="s">
        <v>135</v>
      </c>
      <c r="C1" s="6" t="s">
        <v>136</v>
      </c>
      <c r="D1" s="6" t="s">
        <v>137</v>
      </c>
      <c r="E1" s="6" t="s">
        <v>138</v>
      </c>
      <c r="F1" s="6" t="s">
        <v>139</v>
      </c>
    </row>
    <row r="2" customFormat="false" ht="15" hidden="false" customHeight="false" outlineLevel="0" collapsed="false">
      <c r="A2" s="2" t="s">
        <v>140</v>
      </c>
      <c r="B2" s="4" t="n">
        <v>2</v>
      </c>
      <c r="C2" s="4" t="n">
        <v>1</v>
      </c>
      <c r="D2" s="15" t="n">
        <f aca="false">IF($C2&gt;1,"—",$B2/(Settings!$B$2*Parts!$F$5))</f>
        <v>0.5</v>
      </c>
      <c r="E2" s="15" t="n">
        <f aca="false">IF($C2&gt;2,"—",$B2/(Settings!$B$2*Parts!$F$6))</f>
        <v>0.166666666666667</v>
      </c>
      <c r="F2" s="15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141</v>
      </c>
      <c r="B3" s="4" t="n">
        <v>4</v>
      </c>
      <c r="C3" s="4" t="n">
        <v>1</v>
      </c>
      <c r="D3" s="15" t="n">
        <f aca="false">IF($C3&gt;1,"—",$B3/(Settings!$B$2*Parts!$F$5))</f>
        <v>1</v>
      </c>
      <c r="E3" s="15" t="n">
        <f aca="false">IF($C3&gt;2,"—",$B3/(Settings!$B$2*Parts!$F$6))</f>
        <v>0.333333333333333</v>
      </c>
      <c r="F3" s="15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142</v>
      </c>
      <c r="B4" s="4" t="n">
        <v>5</v>
      </c>
      <c r="C4" s="4" t="n">
        <v>1</v>
      </c>
      <c r="D4" s="15" t="n">
        <f aca="false">IF($C4&gt;1,"—",$B4/(Settings!$B$2*Parts!$F$5))</f>
        <v>1.25</v>
      </c>
      <c r="E4" s="15" t="n">
        <f aca="false">IF($C4&gt;2,"—",$B4/(Settings!$B$2*Parts!$F$6))</f>
        <v>0.416666666666667</v>
      </c>
      <c r="F4" s="15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143</v>
      </c>
      <c r="B5" s="4" t="n">
        <v>9</v>
      </c>
      <c r="C5" s="4" t="n">
        <v>1</v>
      </c>
      <c r="D5" s="15" t="n">
        <f aca="false">IF($C5&gt;1,"—",$B5/(Settings!$B$2*Parts!$F$5))</f>
        <v>2.25</v>
      </c>
      <c r="E5" s="15" t="n">
        <f aca="false">IF($C5&gt;2,"—",$B5/(Settings!$B$2*Parts!$F$6))</f>
        <v>0.75</v>
      </c>
      <c r="F5" s="15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144</v>
      </c>
      <c r="B6" s="4" t="n">
        <v>3</v>
      </c>
      <c r="C6" s="4" t="n">
        <v>1</v>
      </c>
      <c r="D6" s="15" t="n">
        <f aca="false">IF($C6&gt;1,"—",$B6/(Settings!$B$2*Parts!$F$5))</f>
        <v>0.75</v>
      </c>
      <c r="E6" s="15" t="n">
        <f aca="false">IF($C6&gt;2,"—",$B6/(Settings!$B$2*Parts!$F$6))</f>
        <v>0.25</v>
      </c>
      <c r="F6" s="15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145</v>
      </c>
      <c r="B7" s="4" t="n">
        <v>1</v>
      </c>
      <c r="C7" s="4" t="n">
        <v>1</v>
      </c>
      <c r="D7" s="15" t="n">
        <f aca="false">IF($C7&gt;1,"—",$B7/(Settings!$B$2*Parts!$F$5))</f>
        <v>0.25</v>
      </c>
      <c r="E7" s="15" t="n">
        <f aca="false">IF($C7&gt;2,"—",$B7/(Settings!$B$2*Parts!$F$6))</f>
        <v>0.0833333333333333</v>
      </c>
      <c r="F7" s="15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129</v>
      </c>
      <c r="B8" s="4" t="n">
        <v>3</v>
      </c>
      <c r="C8" s="4" t="n">
        <v>1</v>
      </c>
      <c r="D8" s="15" t="n">
        <f aca="false">IF($C8&gt;1,"—",$B8/(Settings!$B$2*Parts!$F$5))</f>
        <v>0.75</v>
      </c>
      <c r="E8" s="15" t="n">
        <f aca="false">IF($C8&gt;2,"—",$B8/(Settings!$B$2*Parts!$F$6))</f>
        <v>0.25</v>
      </c>
      <c r="F8" s="15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130</v>
      </c>
      <c r="B9" s="4" t="n">
        <v>5</v>
      </c>
      <c r="C9" s="4" t="n">
        <v>1</v>
      </c>
      <c r="D9" s="15" t="n">
        <f aca="false">IF($C9&gt;1,"—",$B9/(Settings!$B$2*Parts!$F$5))</f>
        <v>1.25</v>
      </c>
      <c r="E9" s="15" t="n">
        <f aca="false">IF($C9&gt;2,"—",$B9/(Settings!$B$2*Parts!$F$6))</f>
        <v>0.416666666666667</v>
      </c>
      <c r="F9" s="15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131</v>
      </c>
      <c r="B10" s="4" t="n">
        <v>8</v>
      </c>
      <c r="C10" s="4" t="n">
        <v>1</v>
      </c>
      <c r="D10" s="15" t="n">
        <f aca="false">IF($C10&gt;1,"—",$B10/(Settings!$B$2*Parts!$F$5))</f>
        <v>2</v>
      </c>
      <c r="E10" s="15" t="n">
        <f aca="false">IF($C10&gt;2,"—",$B10/(Settings!$B$2*Parts!$F$6))</f>
        <v>0.666666666666667</v>
      </c>
      <c r="F10" s="15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132</v>
      </c>
      <c r="B11" s="4" t="n">
        <v>11</v>
      </c>
      <c r="C11" s="4" t="n">
        <v>1</v>
      </c>
      <c r="D11" s="15" t="n">
        <f aca="false">IF($C11&gt;1,"—",$B11/(Settings!$B$2*Parts!$F$5))</f>
        <v>2.75</v>
      </c>
      <c r="E11" s="15" t="n">
        <f aca="false">IF($C11&gt;2,"—",$B11/(Settings!$B$2*Parts!$F$6))</f>
        <v>0.916666666666667</v>
      </c>
      <c r="F11" s="15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146</v>
      </c>
      <c r="B12" s="4" t="n">
        <v>4</v>
      </c>
      <c r="C12" s="4" t="n">
        <v>1</v>
      </c>
      <c r="D12" s="15" t="n">
        <f aca="false">IF($C12&gt;1,"—",$B12/(Settings!$B$2*Parts!$F$5))</f>
        <v>1</v>
      </c>
      <c r="E12" s="15" t="n">
        <f aca="false">IF($C12&gt;2,"—",$B12/(Settings!$B$2*Parts!$F$6))</f>
        <v>0.333333333333333</v>
      </c>
      <c r="F12" s="15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147</v>
      </c>
      <c r="B13" s="4" t="n">
        <v>10</v>
      </c>
      <c r="C13" s="4" t="n">
        <v>2</v>
      </c>
      <c r="D13" s="15" t="str">
        <f aca="false">IF($C13&gt;1,"—",$B13/(Settings!$B$2*Parts!$F$5))</f>
        <v>—</v>
      </c>
      <c r="E13" s="15" t="n">
        <f aca="false">IF($C13&gt;2,"—",$B13/(Settings!$B$2*Parts!$F$6))</f>
        <v>0.833333333333333</v>
      </c>
      <c r="F13" s="15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148</v>
      </c>
      <c r="B14" s="4" t="n">
        <v>16</v>
      </c>
      <c r="C14" s="4" t="n">
        <v>3</v>
      </c>
      <c r="D14" s="15" t="str">
        <f aca="false">IF($C14&gt;1,"—",$B14/(Settings!$B$2*Parts!$F$5))</f>
        <v>—</v>
      </c>
      <c r="E14" s="15" t="str">
        <f aca="false">IF($C14&gt;2,"—",$B14/(Settings!$B$2*Parts!$F$6))</f>
        <v>—</v>
      </c>
      <c r="F14" s="15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67</v>
      </c>
      <c r="B15" s="4" t="n">
        <v>40</v>
      </c>
      <c r="C15" s="4" t="n">
        <v>1</v>
      </c>
      <c r="D15" s="15" t="n">
        <f aca="false">IF($C15&gt;1,"—",$B15/(Settings!$B$2*Parts!$F$5))</f>
        <v>10</v>
      </c>
      <c r="E15" s="15" t="n">
        <f aca="false">IF($C15&gt;2,"—",$B15/(Settings!$B$2*Parts!$F$6))</f>
        <v>3.33333333333333</v>
      </c>
      <c r="F15" s="15" t="n">
        <f aca="false">IF($C15&gt;3,"—",$B15/(Settings!$B$2*Parts!$F$7))</f>
        <v>1.25</v>
      </c>
    </row>
    <row r="17" customFormat="false" ht="15" hidden="false" customHeight="false" outlineLevel="0" collapsed="false">
      <c r="A17" s="7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6" t="s">
        <v>111</v>
      </c>
      <c r="B1" s="6" t="s">
        <v>113</v>
      </c>
      <c r="C1" s="6" t="s">
        <v>117</v>
      </c>
      <c r="D1" s="6" t="s">
        <v>120</v>
      </c>
      <c r="E1" s="6" t="s">
        <v>150</v>
      </c>
      <c r="F1" s="6" t="s">
        <v>151</v>
      </c>
      <c r="G1" s="6" t="s">
        <v>152</v>
      </c>
    </row>
    <row r="2" customFormat="false" ht="15" hidden="false" customHeight="false" outlineLevel="0" collapsed="false">
      <c r="A2" s="2" t="s">
        <v>112</v>
      </c>
      <c r="B2" s="5" t="n">
        <f aca="false">Parts!$F$8</f>
        <v>80</v>
      </c>
      <c r="C2" s="2" t="s">
        <v>118</v>
      </c>
      <c r="D2" s="16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112</v>
      </c>
      <c r="B3" s="5" t="n">
        <f aca="false">Parts!$F$8</f>
        <v>80</v>
      </c>
      <c r="C3" s="2" t="s">
        <v>121</v>
      </c>
      <c r="D3" s="16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112</v>
      </c>
      <c r="B4" s="5" t="n">
        <f aca="false">Parts!$F$8</f>
        <v>80</v>
      </c>
      <c r="C4" s="2" t="s">
        <v>122</v>
      </c>
      <c r="D4" s="16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115</v>
      </c>
      <c r="B5" s="5" t="n">
        <f aca="false">Parts!$F$9</f>
        <v>140</v>
      </c>
      <c r="C5" s="2" t="s">
        <v>118</v>
      </c>
      <c r="D5" s="16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115</v>
      </c>
      <c r="B6" s="5" t="n">
        <f aca="false">Parts!$F$9</f>
        <v>140</v>
      </c>
      <c r="C6" s="2" t="s">
        <v>121</v>
      </c>
      <c r="D6" s="16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115</v>
      </c>
      <c r="B7" s="5" t="n">
        <f aca="false">Parts!$F$9</f>
        <v>140</v>
      </c>
      <c r="C7" s="2" t="s">
        <v>122</v>
      </c>
      <c r="D7" s="16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116</v>
      </c>
      <c r="B8" s="5" t="n">
        <f aca="false">Parts!$F$10</f>
        <v>240</v>
      </c>
      <c r="C8" s="2" t="s">
        <v>118</v>
      </c>
      <c r="D8" s="16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116</v>
      </c>
      <c r="B9" s="5" t="n">
        <f aca="false">Parts!$F$10</f>
        <v>240</v>
      </c>
      <c r="C9" s="2" t="s">
        <v>121</v>
      </c>
      <c r="D9" s="16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116</v>
      </c>
      <c r="B10" s="5" t="n">
        <f aca="false">Parts!$F$10</f>
        <v>240</v>
      </c>
      <c r="C10" s="2" t="s">
        <v>122</v>
      </c>
      <c r="D10" s="16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7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6" t="s">
        <v>154</v>
      </c>
      <c r="B1" s="6" t="s">
        <v>155</v>
      </c>
      <c r="C1" s="6" t="s">
        <v>156</v>
      </c>
      <c r="D1" s="6" t="s">
        <v>157</v>
      </c>
      <c r="E1" s="6" t="s">
        <v>158</v>
      </c>
    </row>
    <row r="2" customFormat="false" ht="15" hidden="false" customHeight="false" outlineLevel="0" collapsed="false">
      <c r="A2" s="2" t="s">
        <v>159</v>
      </c>
      <c r="B2" s="12" t="n">
        <f aca="false">Parts!D6</f>
        <v>60</v>
      </c>
      <c r="D2" s="18" t="n">
        <f aca="false">SUM($C$2:C2)-SUM($B$2:B2)</f>
        <v>-60</v>
      </c>
      <c r="E2" s="7" t="s">
        <v>160</v>
      </c>
    </row>
    <row r="3" customFormat="false" ht="15" hidden="false" customHeight="false" outlineLevel="0" collapsed="false">
      <c r="A3" s="2" t="s">
        <v>161</v>
      </c>
      <c r="B3" s="12" t="n">
        <f aca="false">Caves!O2</f>
        <v>80</v>
      </c>
      <c r="D3" s="18" t="n">
        <f aca="false">SUM($C$2:C3)-SUM($B$2:B3)</f>
        <v>-140</v>
      </c>
      <c r="E3" s="7" t="s">
        <v>162</v>
      </c>
    </row>
    <row r="4" customFormat="false" ht="15" hidden="false" customHeight="false" outlineLevel="0" collapsed="false">
      <c r="A4" s="2" t="s">
        <v>163</v>
      </c>
      <c r="C4" s="12" t="n">
        <f aca="false">Caves!N2</f>
        <v>300</v>
      </c>
      <c r="D4" s="18" t="n">
        <f aca="false">SUM($C$2:C4)-SUM($B$2:B4)</f>
        <v>160</v>
      </c>
      <c r="E4" s="7" t="s">
        <v>164</v>
      </c>
    </row>
    <row r="5" customFormat="false" ht="15" hidden="false" customHeight="false" outlineLevel="0" collapsed="false">
      <c r="A5" s="2" t="s">
        <v>165</v>
      </c>
      <c r="B5" s="12" t="n">
        <f aca="false">Parts!D3</f>
        <v>120</v>
      </c>
      <c r="D5" s="18" t="n">
        <f aca="false">SUM($C$2:C5)-SUM($B$2:B5)</f>
        <v>40</v>
      </c>
      <c r="E5" s="7" t="s">
        <v>166</v>
      </c>
    </row>
    <row r="6" customFormat="false" ht="15" hidden="false" customHeight="false" outlineLevel="0" collapsed="false">
      <c r="A6" s="2" t="s">
        <v>167</v>
      </c>
      <c r="B6" s="12" t="n">
        <f aca="false">Parts!D9</f>
        <v>150</v>
      </c>
      <c r="D6" s="18" t="n">
        <f aca="false">SUM($C$2:C6)-SUM($B$2:B6)</f>
        <v>-110</v>
      </c>
      <c r="E6" s="7" t="s">
        <v>168</v>
      </c>
    </row>
    <row r="7" customFormat="false" ht="15" hidden="false" customHeight="false" outlineLevel="0" collapsed="false">
      <c r="A7" s="2" t="s">
        <v>169</v>
      </c>
      <c r="B7" s="12" t="n">
        <f aca="false">Caves!O3</f>
        <v>200</v>
      </c>
      <c r="D7" s="18" t="n">
        <f aca="false">SUM($C$2:C7)-SUM($B$2:B7)</f>
        <v>-310</v>
      </c>
      <c r="E7" s="7"/>
    </row>
    <row r="8" customFormat="false" ht="15" hidden="false" customHeight="false" outlineLevel="0" collapsed="false">
      <c r="A8" s="2" t="s">
        <v>170</v>
      </c>
      <c r="C8" s="12" t="n">
        <f aca="false">Caves!N3</f>
        <v>800</v>
      </c>
      <c r="D8" s="18" t="n">
        <f aca="false">SUM($C$2:C8)-SUM($B$2:B8)</f>
        <v>490</v>
      </c>
      <c r="E8" s="7" t="s">
        <v>171</v>
      </c>
    </row>
    <row r="9" customFormat="false" ht="15" hidden="false" customHeight="false" outlineLevel="0" collapsed="false">
      <c r="A9" s="2" t="s">
        <v>172</v>
      </c>
      <c r="B9" s="12" t="n">
        <f aca="false">Parts!D7</f>
        <v>900</v>
      </c>
      <c r="D9" s="18" t="n">
        <f aca="false">SUM($C$2:C9)-SUM($B$2:B9)</f>
        <v>-410</v>
      </c>
      <c r="E9" s="7" t="s">
        <v>173</v>
      </c>
    </row>
    <row r="10" customFormat="false" ht="15" hidden="false" customHeight="false" outlineLevel="0" collapsed="false">
      <c r="A10" s="2" t="s">
        <v>174</v>
      </c>
      <c r="B10" s="12" t="n">
        <f aca="false">Caves!O4</f>
        <v>500</v>
      </c>
      <c r="D10" s="18" t="n">
        <f aca="false">SUM($C$2:C10)-SUM($B$2:B10)</f>
        <v>-910</v>
      </c>
      <c r="E10" s="7"/>
    </row>
    <row r="11" customFormat="false" ht="15" hidden="false" customHeight="false" outlineLevel="0" collapsed="false">
      <c r="A11" s="2" t="s">
        <v>175</v>
      </c>
      <c r="C11" s="12" t="n">
        <f aca="false">Caves!N4</f>
        <v>2000</v>
      </c>
      <c r="D11" s="18" t="n">
        <f aca="false">SUM($C$2:C11)-SUM($B$2:B11)</f>
        <v>1090</v>
      </c>
      <c r="E11" s="7" t="s">
        <v>176</v>
      </c>
    </row>
    <row r="13" customFormat="false" ht="15" hidden="false" customHeight="false" outlineLevel="0" collapsed="false">
      <c r="A13" s="7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6" t="s">
        <v>16</v>
      </c>
      <c r="B1" s="6" t="s">
        <v>17</v>
      </c>
    </row>
    <row r="2" customFormat="false" ht="15" hidden="false" customHeight="false" outlineLevel="0" collapsed="false">
      <c r="A2" s="2" t="s">
        <v>178</v>
      </c>
      <c r="B2" s="4" t="n">
        <v>1.4</v>
      </c>
    </row>
    <row r="3" customFormat="false" ht="15" hidden="false" customHeight="false" outlineLevel="0" collapsed="false">
      <c r="A3" s="2" t="s">
        <v>179</v>
      </c>
      <c r="B3" s="8" t="n">
        <v>0.3</v>
      </c>
    </row>
    <row r="4" customFormat="false" ht="15" hidden="false" customHeight="false" outlineLevel="0" collapsed="false">
      <c r="A4" s="2" t="s">
        <v>180</v>
      </c>
      <c r="B4" s="4" t="n">
        <v>2</v>
      </c>
    </row>
    <row r="5" customFormat="false" ht="15" hidden="false" customHeight="false" outlineLevel="0" collapsed="false">
      <c r="A5" s="2" t="s">
        <v>181</v>
      </c>
      <c r="B5" s="8" t="n">
        <v>0.12</v>
      </c>
    </row>
    <row r="6" customFormat="false" ht="15" hidden="false" customHeight="false" outlineLevel="0" collapsed="false">
      <c r="A6" s="2" t="s">
        <v>182</v>
      </c>
      <c r="B6" s="4" t="n">
        <v>5</v>
      </c>
    </row>
    <row r="7" customFormat="false" ht="15" hidden="false" customHeight="false" outlineLevel="0" collapsed="false">
      <c r="A7" s="2" t="s">
        <v>183</v>
      </c>
      <c r="B7" s="8" t="n">
        <v>0.08</v>
      </c>
    </row>
    <row r="8" customFormat="false" ht="15" hidden="false" customHeight="false" outlineLevel="0" collapsed="false">
      <c r="A8" s="2" t="s">
        <v>184</v>
      </c>
      <c r="B8" s="4" t="n">
        <v>120</v>
      </c>
    </row>
    <row r="9" customFormat="false" ht="15" hidden="false" customHeight="false" outlineLevel="0" collapsed="false">
      <c r="A9" s="2" t="s">
        <v>185</v>
      </c>
      <c r="B9" s="4" t="n">
        <v>1.8</v>
      </c>
    </row>
    <row r="11" customFormat="false" ht="26.85" hidden="false" customHeight="false" outlineLevel="0" collapsed="false">
      <c r="A11" s="6" t="s">
        <v>186</v>
      </c>
      <c r="B11" s="6" t="s">
        <v>187</v>
      </c>
      <c r="C11" s="6" t="s">
        <v>188</v>
      </c>
      <c r="D11" s="6" t="s">
        <v>189</v>
      </c>
      <c r="E11" s="6" t="s">
        <v>190</v>
      </c>
      <c r="F11" s="6" t="s">
        <v>191</v>
      </c>
      <c r="G11" s="6" t="s">
        <v>192</v>
      </c>
    </row>
    <row r="12" customFormat="false" ht="15" hidden="false" customHeight="false" outlineLevel="0" collapsed="false">
      <c r="A12" s="2" t="n">
        <v>1</v>
      </c>
      <c r="B12" s="19" t="n">
        <f aca="false">$B$2/(1+$B$3*(A12-1))</f>
        <v>1.4</v>
      </c>
      <c r="C12" s="20" t="n">
        <f aca="false">$B$4*(1+0.5*(A12-1))</f>
        <v>2</v>
      </c>
      <c r="D12" s="13" t="n">
        <f aca="false">C12*(1+$B$5*($B$6-1))/B12*60</f>
        <v>126.857142857143</v>
      </c>
      <c r="E12" s="21" t="n">
        <f aca="false">$B$7*A12</f>
        <v>0.08</v>
      </c>
      <c r="F12" s="7" t="s">
        <v>193</v>
      </c>
      <c r="G12" s="2" t="n">
        <v>0</v>
      </c>
    </row>
    <row r="13" customFormat="false" ht="15" hidden="false" customHeight="false" outlineLevel="0" collapsed="false">
      <c r="A13" s="2" t="n">
        <v>2</v>
      </c>
      <c r="B13" s="19" t="n">
        <f aca="false">$B$2/(1+$B$3*(A13-1))</f>
        <v>1.07692307692308</v>
      </c>
      <c r="C13" s="20" t="n">
        <f aca="false">$B$4*(1+0.5*(A13-1))</f>
        <v>3</v>
      </c>
      <c r="D13" s="13" t="n">
        <f aca="false">C13*(1+$B$5*($B$6-1))/B13*60</f>
        <v>247.371428571429</v>
      </c>
      <c r="E13" s="21" t="n">
        <f aca="false">$B$7*A13</f>
        <v>0.16</v>
      </c>
      <c r="F13" s="13" t="n">
        <f aca="false">ROUND($B$8*$B$9^(A13-2),0)</f>
        <v>120</v>
      </c>
      <c r="G13" s="13" t="n">
        <f aca="false">G12+F13</f>
        <v>120</v>
      </c>
    </row>
    <row r="14" customFormat="false" ht="15" hidden="false" customHeight="false" outlineLevel="0" collapsed="false">
      <c r="A14" s="2" t="n">
        <v>3</v>
      </c>
      <c r="B14" s="19" t="n">
        <f aca="false">$B$2/(1+$B$3*(A14-1))</f>
        <v>0.875</v>
      </c>
      <c r="C14" s="20" t="n">
        <f aca="false">$B$4*(1+0.5*(A14-1))</f>
        <v>4</v>
      </c>
      <c r="D14" s="13" t="n">
        <f aca="false">C14*(1+$B$5*($B$6-1))/B14*60</f>
        <v>405.942857142857</v>
      </c>
      <c r="E14" s="21" t="n">
        <f aca="false">$B$7*A14</f>
        <v>0.24</v>
      </c>
      <c r="F14" s="13" t="n">
        <f aca="false">ROUND($B$8*$B$9^(A14-2),0)</f>
        <v>216</v>
      </c>
      <c r="G14" s="13" t="n">
        <f aca="false">G13+F14</f>
        <v>336</v>
      </c>
    </row>
    <row r="15" customFormat="false" ht="15" hidden="false" customHeight="false" outlineLevel="0" collapsed="false">
      <c r="A15" s="2" t="n">
        <v>4</v>
      </c>
      <c r="B15" s="19" t="n">
        <f aca="false">$B$2/(1+$B$3*(A15-1))</f>
        <v>0.736842105263158</v>
      </c>
      <c r="C15" s="20" t="n">
        <f aca="false">$B$4*(1+0.5*(A15-1))</f>
        <v>5</v>
      </c>
      <c r="D15" s="13" t="n">
        <f aca="false">C15*(1+$B$5*($B$6-1))/B15*60</f>
        <v>602.571428571429</v>
      </c>
      <c r="E15" s="21" t="n">
        <f aca="false">$B$7*A15</f>
        <v>0.32</v>
      </c>
      <c r="F15" s="13" t="n">
        <f aca="false">ROUND($B$8*$B$9^(A15-2),0)</f>
        <v>389</v>
      </c>
      <c r="G15" s="13" t="n">
        <f aca="false">G14+F15</f>
        <v>725</v>
      </c>
    </row>
    <row r="16" customFormat="false" ht="15" hidden="false" customHeight="false" outlineLevel="0" collapsed="false">
      <c r="A16" s="2" t="n">
        <v>5</v>
      </c>
      <c r="B16" s="19" t="n">
        <f aca="false">$B$2/(1+$B$3*(A16-1))</f>
        <v>0.636363636363636</v>
      </c>
      <c r="C16" s="20" t="n">
        <f aca="false">$B$4*(1+0.5*(A16-1))</f>
        <v>6</v>
      </c>
      <c r="D16" s="13" t="n">
        <f aca="false">C16*(1+$B$5*($B$6-1))/B16*60</f>
        <v>837.257142857143</v>
      </c>
      <c r="E16" s="21" t="n">
        <f aca="false">$B$7*A16</f>
        <v>0.4</v>
      </c>
      <c r="F16" s="13" t="n">
        <f aca="false">ROUND($B$8*$B$9^(A16-2),0)</f>
        <v>700</v>
      </c>
      <c r="G16" s="13" t="n">
        <f aca="false">G15+F16</f>
        <v>1425</v>
      </c>
    </row>
    <row r="17" customFormat="false" ht="15" hidden="false" customHeight="false" outlineLevel="0" collapsed="false">
      <c r="A17" s="2" t="n">
        <v>6</v>
      </c>
      <c r="B17" s="19" t="n">
        <f aca="false">$B$2/(1+$B$3*(A17-1))</f>
        <v>0.56</v>
      </c>
      <c r="C17" s="20" t="n">
        <f aca="false">$B$4*(1+0.5*(A17-1))</f>
        <v>7</v>
      </c>
      <c r="D17" s="13" t="n">
        <f aca="false">C17*(1+$B$5*($B$6-1))/B17*60</f>
        <v>1110</v>
      </c>
      <c r="E17" s="21" t="n">
        <f aca="false">$B$7*A17</f>
        <v>0.48</v>
      </c>
      <c r="F17" s="13" t="n">
        <f aca="false">ROUND($B$8*$B$9^(A17-2),0)</f>
        <v>1260</v>
      </c>
      <c r="G17" s="13" t="n">
        <f aca="false">G16+F17</f>
        <v>2685</v>
      </c>
    </row>
    <row r="18" customFormat="false" ht="15" hidden="false" customHeight="false" outlineLevel="0" collapsed="false">
      <c r="A18" s="2" t="n">
        <v>7</v>
      </c>
      <c r="B18" s="19" t="n">
        <f aca="false">$B$2/(1+$B$3*(A18-1))</f>
        <v>0.5</v>
      </c>
      <c r="C18" s="20" t="n">
        <f aca="false">$B$4*(1+0.5*(A18-1))</f>
        <v>8</v>
      </c>
      <c r="D18" s="13" t="n">
        <f aca="false">C18*(1+$B$5*($B$6-1))/B18*60</f>
        <v>1420.8</v>
      </c>
      <c r="E18" s="21" t="n">
        <f aca="false">$B$7*A18</f>
        <v>0.56</v>
      </c>
      <c r="F18" s="13" t="n">
        <f aca="false">ROUND($B$8*$B$9^(A18-2),0)</f>
        <v>2267</v>
      </c>
      <c r="G18" s="13" t="n">
        <f aca="false">G17+F18</f>
        <v>4952</v>
      </c>
    </row>
    <row r="19" customFormat="false" ht="15" hidden="false" customHeight="false" outlineLevel="0" collapsed="false">
      <c r="A19" s="2" t="n">
        <v>8</v>
      </c>
      <c r="B19" s="19" t="n">
        <f aca="false">$B$2/(1+$B$3*(A19-1))</f>
        <v>0.451612903225806</v>
      </c>
      <c r="C19" s="20" t="n">
        <f aca="false">$B$4*(1+0.5*(A19-1))</f>
        <v>9</v>
      </c>
      <c r="D19" s="13" t="n">
        <f aca="false">C19*(1+$B$5*($B$6-1))/B19*60</f>
        <v>1769.65714285714</v>
      </c>
      <c r="E19" s="21" t="n">
        <f aca="false">$B$7*A19</f>
        <v>0.64</v>
      </c>
      <c r="F19" s="13" t="n">
        <f aca="false">ROUND($B$8*$B$9^(A19-2),0)</f>
        <v>4081</v>
      </c>
      <c r="G19" s="13" t="n">
        <f aca="false">G18+F19</f>
        <v>9033</v>
      </c>
    </row>
    <row r="20" customFormat="false" ht="15" hidden="false" customHeight="false" outlineLevel="0" collapsed="false">
      <c r="A20" s="2" t="n">
        <v>9</v>
      </c>
      <c r="B20" s="19" t="n">
        <f aca="false">$B$2/(1+$B$3*(A20-1))</f>
        <v>0.411764705882353</v>
      </c>
      <c r="C20" s="20" t="n">
        <f aca="false">$B$4*(1+0.5*(A20-1))</f>
        <v>10</v>
      </c>
      <c r="D20" s="13" t="n">
        <f aca="false">C20*(1+$B$5*($B$6-1))/B20*60</f>
        <v>2156.57142857143</v>
      </c>
      <c r="E20" s="21" t="n">
        <f aca="false">$B$7*A20</f>
        <v>0.72</v>
      </c>
      <c r="F20" s="13" t="n">
        <f aca="false">ROUND($B$8*$B$9^(A20-2),0)</f>
        <v>7347</v>
      </c>
      <c r="G20" s="13" t="n">
        <f aca="false">G19+F20</f>
        <v>16380</v>
      </c>
    </row>
    <row r="21" customFormat="false" ht="15" hidden="false" customHeight="false" outlineLevel="0" collapsed="false">
      <c r="A21" s="2" t="n">
        <v>10</v>
      </c>
      <c r="B21" s="19" t="n">
        <f aca="false">$B$2/(1+$B$3*(A21-1))</f>
        <v>0.378378378378378</v>
      </c>
      <c r="C21" s="20" t="n">
        <f aca="false">$B$4*(1+0.5*(A21-1))</f>
        <v>11</v>
      </c>
      <c r="D21" s="13" t="n">
        <f aca="false">C21*(1+$B$5*($B$6-1))/B21*60</f>
        <v>2581.54285714286</v>
      </c>
      <c r="E21" s="21" t="n">
        <f aca="false">$B$7*A21</f>
        <v>0.8</v>
      </c>
      <c r="F21" s="13" t="n">
        <f aca="false">ROUND($B$8*$B$9^(A21-2),0)</f>
        <v>13224</v>
      </c>
      <c r="G21" s="13" t="n">
        <f aca="false">G20+F21</f>
        <v>29604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2026-10-13T00:21:15Z</dcterms:created>
  <dc:creator>openpyxl</dc:creator>
  <dc:description/>
  <dc:language>en-US</dc:language>
  <cp:lastModifiedBy/>
  <dcterms:modified xsi:type="dcterms:W3CDTF">2026-10-13T00:21:15Z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