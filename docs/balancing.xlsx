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  <sheet name="Tools &amp; skills" sheetId="11" state="visible" r:id="rId13"/>
    <sheet name="Hazards" sheetId="12" state="visible" r:id="rId14"/>
    <sheet name="Weapons" sheetId="13" state="visible" r:id="rId15"/>
    <sheet name="Enemies" sheetId="14" state="visible" r:id="rId16"/>
    <sheet name="Flux upgrad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<sst xmlns="http://schemas.openxmlformats.org/spreadsheetml/2006/main" count="471" uniqueCount="366">
  <si>
    <t xml:space="preserve">Bolt &amp; Burrow — balancing sheet (v0.11)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</si>
  <si>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</si>
  <si>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</si>
  <si>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</si>
  <si>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</si>
  <si>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</si>
  <si>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</si>
  <si>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</si>
  <si>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</si>
  <si>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</si>
  <si>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</si>
  <si>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</si>
  <si>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</si>
  <si>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</si>
  <si>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Tools &amp; skills – tool prices and belt slots; active skills, their recharge times and battery cost</t>
  </si>
  <si>
    <t xml:space="preserve">Hazards – how much sand, boulders, water and gas take when they hit you</t>
  </si>
  <si>
    <t xml:space="preserve">Weapons – every weapon arm, its damage per second at Mk I–III, and how well it mines</t>
  </si>
  <si>
    <t xml:space="preserve">Enemies – enemy and boss stats, and how many seconds each weapon takes to beat them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</si>
  <si>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</si>
  <si>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</si>
  <si>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</si>
  <si>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</si>
  <si>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</si>
  <si>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</si>
  <si>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</si>
  <si>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</si>
  <si>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</si>
  <si>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</si>
  <si>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</si>
  <si>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</si>
  <si>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</si>
  <si>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</si>
  <si>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</si>
  <si>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</si>
  <si>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</si>
  <si>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</si>
  <si>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</si>
  <si>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</si>
  <si>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</si>
  <si>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</si>
  <si>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</si>
  <si>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</si>
  <si>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</si>
  <si>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</si>
  <si>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</si>
  <si>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</si>
  <si>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</si>
  <si>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</si>
  <si>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</si>
  <si>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</si>
  <si>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</si>
  <si>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</si>
  <si>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</si>
  <si>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</si>
  <si>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</si>
  <si>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</si>
  <si>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</si>
  <si>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</si>
  <si>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</si>
  <si>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</si>
  <si>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</si>
  <si>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</si>
  <si>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</si>
  <si>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</si>
  <si>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</si>
  <si>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</si>
  <si>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</si>
  <si>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</si>
  <si>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</si>
  <si>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</si>
  <si>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</si>
  <si>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</si>
  <si>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</si>
  <si>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</si>
  <si>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</si>
  <si>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</si>
  <si>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</si>
  <si>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</si>
  <si>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</si>
  <si>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</si>
  <si>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</si>
  <si>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</si>
  <si>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</si>
  <si>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</si>
  <si>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</si>
  <si>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</si>
  <si>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</si>
  <si>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</si>
  <si>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</si>
  <si>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</si>
  <si>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</si>
  <si>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</si>
  <si>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</si>
  <si>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</si>
  <si>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</si>
  <si>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</si>
  <si>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</si>
  <si>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</si>
  <si>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</si>
  <si>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</si>
  <si>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</si>
  <si>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</si>
  <si>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</si>
  <si>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</si>
  <si>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</si>
  <si>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</si>
  <si>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</si>
  <si>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</si>
  <si>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</si>
  <si>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</si>
  <si>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</si>
  <si>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</si>
  <si>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</si>
  <si>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</si>
  <si>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</si>
  <si>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</si>
  <si>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</si>
  <si>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</si>
  <si>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</si>
  <si>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</si>
  <si>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</si>
  <si>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</si>
  <si>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</si>
  <si>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</si>
  <si>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</si>
  <si>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</si>
  <si>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</si>
  <si>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</si>
  <si>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</si>
  <si>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</si>
  <si>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</si>
  <si>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</si>
  <si>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</si>
  <si>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</si>
  <si>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</si>
  <si>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</si>
  <si>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</si>
  <si>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</si>
  <si>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</si>
  <si>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</si>
  <si>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</si>
  <si>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</si>
  <si>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</si>
  <si>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</si>
  <si>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</si>
  <si>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</si>
  <si>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</si>
  <si>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</si>
  <si>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</si>
  <si>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</si>
  <si>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</si>
  <si>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</si>
  <si>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</si>
  <si>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</si>
  <si>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</si>
  <si>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</si>
  <si>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</si>
  <si>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</si>
  <si>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</si>
  <si>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</si>
  <si>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</si>
  <si>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</si>
  <si>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</si>
  <si>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</si>
  <si>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</si>
  <si>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</si>
  <si>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</si>
  <si>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</si>
  <si>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</si>
  <si>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</si>
  <si>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</si>
  <si>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</si>
  <si>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</si>
  <si>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</si>
  <si>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</si>
  <si>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</si>
  <si>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</si>
  <si>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</si>
  <si>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</si>
  <si>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</si>
  <si>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</si>
  <si>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</si>
  <si>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</si>
  <si>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</si>
  <si>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</si>
  <si>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</si>
  <si>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</si>
  <si>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</si>
  <si>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</si>
  <si>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</si>
  <si>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</si>
  <si>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</si>
  <si>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</si>
  <si>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</si>
  <si>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</si>
  <si>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</si>
  <si>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</si>
  <si>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</si>
  <si>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</si>
  <si>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</si>
  <si>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</si>
  <si>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</si>
  <si>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</si>
  <si>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</si>
  <si>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</si>
  <si>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</si>
  <si>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</si>
  <si>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</si>
  <si>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</si>
  <si>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</si>
  <si>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</si>
  <si>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</si>
  <si>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</si>
  <si>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</si>
  <si>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</si>
  <si>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</si>
  <si>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</si>
  <si>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</si>
  <si>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</si>
  <si>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</si>
  <si>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</si>
  <si>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</si>
  <si>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</si>
  <si>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</si>
  <si>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</si>
  <si>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</si>
  <si>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</si>
  <si>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</si>
  <si>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</si>
  <si>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</si>
  <si>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</si>
  <si>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</si>
  <si>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</si>
  <si>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</si>
  <si>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</si>
  <si>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</si>
  <si>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</si>
  <si>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</si>
  <si>
    <t xml:space="preserve">Tool</t>
  </si>
  <si>
    <t xml:space="preserve">Key</t>
  </si>
  <si>
    <t xml:space="preserve">Price (coins)</t>
  </si>
  <si>
    <t xml:space="preserve">Max per slot</t>
  </si>
  <si>
    <t xml:space="preserve">Full slot costs</t>
  </si>
  <si>
    <t xml:space="preserve">What it does</t>
  </si>
  <si>
    <t xml:space="preserve">Blast charge</t>
  </si>
  <si>
    <t xml:space="preserve">Breaks a 3×3 area, even hard rock (you collect what breaks)</t>
  </si>
  <si>
    <t xml:space="preserve">Support beam</t>
  </si>
  <si>
    <t xml:space="preserve">Stops sand and boulders; keeps unstable rock within 1 block still</t>
  </si>
  <si>
    <t xml:space="preserve">Flare</t>
  </si>
  <si>
    <t xml:space="preserve">Lights a 7-block radius for 30 s</t>
  </si>
  <si>
    <t xml:space="preserve">Grapple</t>
  </si>
  <si>
    <t xml:space="preserve">Swings across up to 3 blocks of chasm</t>
  </si>
  <si>
    <t xml:space="preserve">Belt slots</t>
  </si>
  <si>
    <t xml:space="preserve">Base belt slots</t>
  </si>
  <si>
    <t xml:space="preserve">Each tool type takes one slot. Pip buys tools back at full price.</t>
  </si>
  <si>
    <t xml:space="preserve">Skill</t>
  </si>
  <si>
    <t xml:space="preserve">Battery per use</t>
  </si>
  <si>
    <t xml:space="preserve">Recharge Lv 1 (s)</t>
  </si>
  <si>
    <t xml:space="preserve">Lv 2 (s)</t>
  </si>
  <si>
    <t xml:space="preserve">Lv 3 (s)</t>
  </si>
  <si>
    <t xml:space="preserve">Uses per minute at Lv 3</t>
  </si>
  <si>
    <t xml:space="preserve">Dash</t>
  </si>
  <si>
    <t xml:space="preserve">Drill Burst</t>
  </si>
  <si>
    <t xml:space="preserve">Scan Pulse</t>
  </si>
  <si>
    <t xml:space="preserve">Shield</t>
  </si>
  <si>
    <t xml:space="preserve">Skills go in the computer's bottom row (opens with the Core Heart), one at a time. The nano-bot recharges them; upgrades use Flux like other mods.</t>
  </si>
  <si>
    <t xml:space="preserve">Hazard</t>
  </si>
  <si>
    <t xml:space="preserve">Battery lost</t>
  </si>
  <si>
    <t xml:space="preserve">Ore lost</t>
  </si>
  <si>
    <t xml:space="preserve">Timing</t>
  </si>
  <si>
    <t xml:space="preserve">Notes</t>
  </si>
  <si>
    <t xml:space="preserve">Cave-in (unstable rock)</t>
  </si>
  <si>
    <t xml:space="preserve">0.4 s shake</t>
  </si>
  <si>
    <t xml:space="preserve">Sets off unstable rock within 2.2 blocks</t>
  </si>
  <si>
    <t xml:space="preserve">Sand slide</t>
  </si>
  <si>
    <t xml:space="preserve">0.3 s per block</t>
  </si>
  <si>
    <t xml:space="preserve">Slides toward the entrance into open space</t>
  </si>
  <si>
    <t xml:space="preserve">Rolling boulder</t>
  </si>
  <si>
    <t xml:space="preserve">0.6 s rumble, then 0.14 s per block</t>
  </si>
  <si>
    <t xml:space="preserve">Push one by walking into it for 0.3 s</t>
  </si>
  <si>
    <t xml:space="preserve">Gas explosion</t>
  </si>
  <si>
    <t xml:space="preserve">0.9 s fuse</t>
  </si>
  <si>
    <t xml:space="preserve">Hits within 1.8 blocks; clears a 3×3 area</t>
  </si>
  <si>
    <t xml:space="preserve">Flood water</t>
  </si>
  <si>
    <t xml:space="preserve">1.2 per second</t>
  </si>
  <si>
    <t xml:space="preserve">0.2 s per block, 10 blocks a pocket</t>
  </si>
  <si>
    <t xml:space="preserve">Wading runs at 55% speed</t>
  </si>
  <si>
    <t xml:space="preserve">A Shield blocks the whole hit. Every cave slopes toward its entrance, so sand and boulders move that way.</t>
  </si>
  <si>
    <t xml:space="preserve">Weapon</t>
  </si>
  <si>
    <t xml:space="preserve">Class</t>
  </si>
  <si>
    <t xml:space="preserve">Price</t>
  </si>
  <si>
    <t xml:space="preserve">Damage (Mk I)</t>
  </si>
  <si>
    <t xml:space="preserve">Cooldown (s)</t>
  </si>
  <si>
    <t xml:space="preserve">DPS Mk I</t>
  </si>
  <si>
    <t xml:space="preserve">DPS Mk II</t>
  </si>
  <si>
    <t xml:space="preserve">DPS Mk III</t>
  </si>
  <si>
    <t xml:space="preserve">Block hit share</t>
  </si>
  <si>
    <t xml:space="preserve">Block damage / s</t>
  </si>
  <si>
    <t xml:space="preserve">Breaks up to</t>
  </si>
  <si>
    <t xml:space="preserve">Wrench</t>
  </si>
  <si>
    <t xml:space="preserve">Melee</t>
  </si>
  <si>
    <t xml:space="preserve">Free starter</t>
  </si>
  <si>
    <t xml:space="preserve">Rock Hammer</t>
  </si>
  <si>
    <t xml:space="preserve">granite</t>
  </si>
  <si>
    <t xml:space="preserve">Cracks armour</t>
  </si>
  <si>
    <t xml:space="preserve">Rivet Gun</t>
  </si>
  <si>
    <t xml:space="preserve">Ranged</t>
  </si>
  <si>
    <t xml:space="preserve">Range 7</t>
  </si>
  <si>
    <t xml:space="preserve">Gravity Bulwark</t>
  </si>
  <si>
    <t xml:space="preserve">Defensive</t>
  </si>
  <si>
    <t xml:space="preserve">Pull + 0.9 s stun, halves frontal damage</t>
  </si>
  <si>
    <t xml:space="preserve">Stun Pulse</t>
  </si>
  <si>
    <t xml:space="preserve">Support</t>
  </si>
  <si>
    <t xml:space="preserve">-</t>
  </si>
  <si>
    <t xml:space="preserve">1.5 s stun, marks for 4 s (+50% damage, no armour)</t>
  </si>
  <si>
    <t xml:space="preserve">Mk multipliers</t>
  </si>
  <si>
    <t xml:space="preserve">Damage</t>
  </si>
  <si>
    <t xml:space="preserve">Cooldown</t>
  </si>
  <si>
    <t xml:space="preserve">Dig arms for comparison: Rock Claws 4, Drill Arms 12, Plasma Cutters 32 block damage a second (plus the cone: 40% to the sides, 30% behind).</t>
  </si>
  <si>
    <t xml:space="preserve">Enemy</t>
  </si>
  <si>
    <t xml:space="preserve">Where</t>
  </si>
  <si>
    <t xml:space="preserve">HP</t>
  </si>
  <si>
    <t xml:space="preserve">Damage to hull</t>
  </si>
  <si>
    <t xml:space="preserve">Speed</t>
  </si>
  <si>
    <t xml:space="preserve">Armour</t>
  </si>
  <si>
    <t xml:space="preserve">Wrench Mk I (s)</t>
  </si>
  <si>
    <t xml:space="preserve">Hammer Mk I (s)</t>
  </si>
  <si>
    <t xml:space="preserve">Rivet Mk I (s)</t>
  </si>
  <si>
    <t xml:space="preserve">Grub</t>
  </si>
  <si>
    <t xml:space="preserve">Hollowmouth</t>
  </si>
  <si>
    <t xml:space="preserve">Cave Bat</t>
  </si>
  <si>
    <t xml:space="preserve">Spitter</t>
  </si>
  <si>
    <t xml:space="preserve">Hollowmouth (caves 2–3)</t>
  </si>
  <si>
    <t xml:space="preserve">Rock Crab</t>
  </si>
  <si>
    <t xml:space="preserve">Rustvale</t>
  </si>
  <si>
    <t xml:space="preserve">Magma Mite</t>
  </si>
  <si>
    <t xml:space="preserve">Rustvale (groups of 4)</t>
  </si>
  <si>
    <t xml:space="preserve">Grub Mother</t>
  </si>
  <si>
    <t xml:space="preserve">Cave 1 mini-boss</t>
  </si>
  <si>
    <t xml:space="preserve">Crystal Warden</t>
  </si>
  <si>
    <t xml:space="preserve">Cave 2 mini-boss</t>
  </si>
  <si>
    <t xml:space="preserve">Basalt Golem</t>
  </si>
  <si>
    <t xml:space="preserve">Cave 3 boss (drops the Core Heart)</t>
  </si>
  <si>
    <t xml:space="preserve">Seconds of non-stop hitting. Armour is ignored by the Rock Hammer and by marked or stunned enemies. Hull: 60 / 100 / 160 by Tank tier; it repairs at outposts.</t>
  </si>
  <si>
    <t xml:space="preserve">Upgrade</t>
  </si>
  <si>
    <t xml:space="preserve">Per level</t>
  </si>
  <si>
    <t xml:space="preserve">Max level</t>
  </si>
  <si>
    <t xml:space="preserve">At max</t>
  </si>
  <si>
    <t xml:space="preserve">Base value</t>
  </si>
  <si>
    <t xml:space="preserve">Total at max</t>
  </si>
  <si>
    <t xml:space="preserve">Magnet (blocks)</t>
  </si>
  <si>
    <t xml:space="preserve">Pickup range; pull speed +25% a level</t>
  </si>
  <si>
    <t xml:space="preserve">Hull plating (hull)</t>
  </si>
  <si>
    <t xml:space="preserve">Base = Small Tank hull</t>
  </si>
  <si>
    <t xml:space="preserve">Damage mitigation</t>
  </si>
  <si>
    <t xml:space="preserve">Fraction of each hit removed</t>
  </si>
  <si>
    <t xml:space="preserve">Field repair (hull/s)</t>
  </si>
  <si>
    <t xml:space="preserve">Only in the caves</t>
  </si>
  <si>
    <t xml:space="preserve">Weapon power</t>
  </si>
  <si>
    <t xml:space="preserve">Multiplies every weapon</t>
  </si>
  <si>
    <t xml:space="preserve">Level</t>
  </si>
  <si>
    <t xml:space="preserve">Flux cost</t>
  </si>
  <si>
    <t xml:space="preserve">Total Flux</t>
  </si>
  <si>
    <t xml:space="preserve">Hours of 1 bot (10/min)</t>
  </si>
  <si>
    <t xml:space="preserve">Maxing all five upgrades</t>
  </si>
  <si>
    <t xml:space="preserve">Ore drops: each ore block holds 1–4 pieces (average 2.5). Pieces stay on the floor until you leave the cave.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</si>
</sst>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22</v>
      </c>
      <c r="B1" s="7" t="s">
        <v>23</v>
      </c>
      <c r="C1" s="7" t="s">
        <v>24</v>
      </c>
    </row>
    <row r="2" customFormat="false" ht="15" hidden="false" customHeight="false" outlineLevel="0" collapsed="false">
      <c r="A2" s="2" t="s">
        <v>25</v>
      </c>
      <c r="B2" s="4" t="n">
        <v>4</v>
      </c>
      <c r="C2" s="6" t="s">
        <v>26</v>
      </c>
    </row>
    <row r="3" customFormat="false" ht="15" hidden="false" customHeight="false" outlineLevel="0" collapsed="false">
      <c r="A3" s="2" t="s">
        <v>27</v>
      </c>
      <c r="B3" s="4" t="n">
        <v>0.5</v>
      </c>
      <c r="C3" s="6" t="s">
        <v>28</v>
      </c>
    </row>
    <row r="4" customFormat="false" ht="15" hidden="false" customHeight="false" outlineLevel="0" collapsed="false">
      <c r="A4" s="2" t="s">
        <v>29</v>
      </c>
      <c r="B4" s="4" t="n">
        <v>1.2</v>
      </c>
      <c r="C4" s="6" t="s">
        <v>30</v>
      </c>
    </row>
    <row r="5" customFormat="false" ht="15" hidden="false" customHeight="false" outlineLevel="0" collapsed="false">
      <c r="A5" s="2" t="s">
        <v>31</v>
      </c>
      <c r="B5" s="4" t="n">
        <v>45</v>
      </c>
      <c r="C5" s="6" t="s">
        <v>32</v>
      </c>
    </row>
    <row r="6" customFormat="false" ht="15" hidden="false" customHeight="false" outlineLevel="0" collapsed="false">
      <c r="A6" s="2" t="s">
        <v>33</v>
      </c>
      <c r="B6" s="4" t="n">
        <v>25</v>
      </c>
      <c r="C6" s="6" t="s">
        <v>34</v>
      </c>
    </row>
    <row r="7" customFormat="false" ht="15" hidden="false" customHeight="false" outlineLevel="0" collapsed="false">
      <c r="A7" s="2" t="s">
        <v>35</v>
      </c>
      <c r="B7" s="4" t="n">
        <v>80</v>
      </c>
      <c r="C7" s="6" t="s">
        <v>36</v>
      </c>
    </row>
    <row r="8" customFormat="false" ht="15" hidden="false" customHeight="false" outlineLevel="0" collapsed="false">
      <c r="A8" s="2" t="s">
        <v>37</v>
      </c>
      <c r="B8" s="4" t="n">
        <v>2.5</v>
      </c>
      <c r="C8" s="6" t="s">
        <v>38</v>
      </c>
    </row>
    <row r="9" customFormat="false" ht="15" hidden="false" customHeight="false" outlineLevel="0" collapsed="false">
      <c r="A9" s="2" t="s">
        <v>39</v>
      </c>
      <c r="B9" s="4" t="n">
        <v>60</v>
      </c>
      <c r="C9" s="6" t="s">
        <v>40</v>
      </c>
    </row>
    <row r="10" customFormat="false" ht="15" hidden="false" customHeight="false" outlineLevel="0" collapsed="false">
      <c r="A10" s="2" t="s">
        <v>41</v>
      </c>
      <c r="B10" s="4" t="n">
        <v>160</v>
      </c>
      <c r="C10" s="6" t="s">
        <v>42</v>
      </c>
    </row>
    <row r="11" customFormat="false" ht="15" hidden="false" customHeight="false" outlineLevel="0" collapsed="false">
      <c r="A11" s="2" t="s">
        <v>43</v>
      </c>
      <c r="B11" s="4" t="n">
        <v>2</v>
      </c>
      <c r="C11" s="6" t="s">
        <v>44</v>
      </c>
    </row>
    <row r="12" customFormat="false" ht="15" hidden="false" customHeight="false" outlineLevel="0" collapsed="false">
      <c r="A12" s="2" t="s">
        <v>45</v>
      </c>
      <c r="B12" s="4" t="n">
        <v>4</v>
      </c>
      <c r="C12" s="6" t="s">
        <v>46</v>
      </c>
    </row>
    <row r="13" customFormat="false" ht="15" hidden="false" customHeight="false" outlineLevel="0" collapsed="false">
      <c r="A13" s="2" t="s">
        <v>47</v>
      </c>
      <c r="B13" s="4" t="n">
        <v>54</v>
      </c>
      <c r="C13" s="6" t="s">
        <v>48</v>
      </c>
    </row>
    <row r="14" customFormat="false" ht="15" hidden="false" customHeight="false" outlineLevel="0" collapsed="false">
      <c r="A14" s="2" t="s">
        <v>49</v>
      </c>
      <c r="B14" s="8" t="n">
        <v>0.5</v>
      </c>
      <c r="C14" s="6" t="s">
        <v>50</v>
      </c>
    </row>
    <row r="15" customFormat="false" ht="15" hidden="false" customHeight="false" outlineLevel="0" collapsed="false">
      <c r="A15" s="2" t="s">
        <v>51</v>
      </c>
      <c r="B15" s="4" t="n">
        <v>0.4</v>
      </c>
      <c r="C15" s="6" t="s">
        <v>52</v>
      </c>
    </row>
    <row r="16" customFormat="false" ht="15" hidden="false" customHeight="false" outlineLevel="0" collapsed="false">
      <c r="A16" s="2" t="s">
        <v>53</v>
      </c>
      <c r="B16" s="4" t="n">
        <v>1.8</v>
      </c>
      <c r="C16" s="6" t="s">
        <v>54</v>
      </c>
    </row>
    <row r="17" customFormat="false" ht="15" hidden="false" customHeight="false" outlineLevel="0" collapsed="false">
      <c r="A17" s="2" t="s">
        <v>55</v>
      </c>
      <c r="B17" s="8" t="n">
        <v>0.25</v>
      </c>
      <c r="C17" s="6" t="s">
        <v>56</v>
      </c>
    </row>
    <row r="18" customFormat="false" ht="15" hidden="false" customHeight="false" outlineLevel="0" collapsed="false">
      <c r="A18" s="2" t="s">
        <v>57</v>
      </c>
      <c r="B18" s="8" t="n">
        <v>0.3</v>
      </c>
      <c r="C18" s="6" t="s">
        <v>58</v>
      </c>
    </row>
    <row r="19" customFormat="false" ht="15" hidden="false" customHeight="false" outlineLevel="0" collapsed="false">
      <c r="A19" s="2" t="s">
        <v>59</v>
      </c>
      <c r="B19" s="4" t="n">
        <v>10</v>
      </c>
      <c r="C19" s="6" t="s">
        <v>60</v>
      </c>
    </row>
    <row r="20" customFormat="false" ht="15" hidden="false" customHeight="false" outlineLevel="0" collapsed="false">
      <c r="A20" s="2" t="s">
        <v>61</v>
      </c>
      <c r="B20" s="4" t="n">
        <v>8</v>
      </c>
      <c r="C20" s="6" t="s">
        <v>62</v>
      </c>
    </row>
    <row r="21" customFormat="false" ht="15" hidden="false" customHeight="false" outlineLevel="0" collapsed="false">
      <c r="A21" s="2" t="s">
        <v>63</v>
      </c>
      <c r="B21" s="4" t="n">
        <v>25</v>
      </c>
      <c r="C21" s="6" t="s">
        <v>64</v>
      </c>
    </row>
    <row r="22" customFormat="false" ht="15" hidden="false" customHeight="false" outlineLevel="0" collapsed="false">
      <c r="A22" s="2" t="s">
        <v>65</v>
      </c>
      <c r="B22" s="4" t="n">
        <v>75</v>
      </c>
      <c r="C22" s="6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7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7" t="s">
        <v>78</v>
      </c>
      <c r="M1" s="7" t="s">
        <v>79</v>
      </c>
      <c r="N1" s="7" t="s">
        <v>80</v>
      </c>
      <c r="O1" s="7" t="s">
        <v>81</v>
      </c>
      <c r="P1" s="7" t="s">
        <v>82</v>
      </c>
      <c r="Q1" s="7" t="s">
        <v>83</v>
      </c>
      <c r="R1" s="7" t="s">
        <v>84</v>
      </c>
      <c r="S1" s="7" t="s">
        <v>85</v>
      </c>
    </row>
    <row r="2" customFormat="false" ht="15" hidden="false" customHeight="false" outlineLevel="0" collapsed="false">
      <c r="A2" s="2" t="n">
        <v>1</v>
      </c>
      <c r="B2" s="2" t="s">
        <v>86</v>
      </c>
      <c r="C2" s="9" t="n">
        <v>1</v>
      </c>
      <c r="D2" s="2" t="s">
        <v>87</v>
      </c>
      <c r="E2" s="10" t="n">
        <v>0.06</v>
      </c>
      <c r="F2" s="2" t="s">
        <v>88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89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90</v>
      </c>
    </row>
    <row r="3" customFormat="false" ht="15" hidden="false" customHeight="false" outlineLevel="0" collapsed="false">
      <c r="A3" s="2" t="n">
        <v>2</v>
      </c>
      <c r="B3" s="2" t="s">
        <v>91</v>
      </c>
      <c r="C3" s="9" t="n">
        <v>1.5</v>
      </c>
      <c r="D3" s="2" t="s">
        <v>88</v>
      </c>
      <c r="E3" s="10" t="n">
        <v>0.05</v>
      </c>
      <c r="F3" s="2" t="s">
        <v>92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93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94</v>
      </c>
    </row>
    <row r="4" customFormat="false" ht="15" hidden="false" customHeight="false" outlineLevel="0" collapsed="false">
      <c r="A4" s="2" t="n">
        <v>3</v>
      </c>
      <c r="B4" s="2" t="s">
        <v>95</v>
      </c>
      <c r="C4" s="9" t="n">
        <v>2</v>
      </c>
      <c r="D4" s="2" t="s">
        <v>92</v>
      </c>
      <c r="E4" s="10" t="n">
        <v>0.05</v>
      </c>
      <c r="F4" s="2" t="s">
        <v>96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97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98</v>
      </c>
    </row>
    <row r="6" customFormat="false" ht="15" hidden="false" customHeight="false" outlineLevel="0" collapsed="false">
      <c r="A6" s="6" t="s">
        <v>99</v>
      </c>
    </row>
    <row r="7" customFormat="false" ht="15" hidden="false" customHeight="false" outlineLevel="0" collapsed="false">
      <c r="A7" s="6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101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23</v>
      </c>
      <c r="G1" s="7" t="s">
        <v>106</v>
      </c>
      <c r="H1" s="7" t="s">
        <v>23</v>
      </c>
      <c r="I1" s="7" t="s">
        <v>107</v>
      </c>
    </row>
    <row r="2" customFormat="false" ht="15" hidden="false" customHeight="false" outlineLevel="0" collapsed="false">
      <c r="A2" s="2" t="s">
        <v>108</v>
      </c>
      <c r="B2" s="2" t="n">
        <v>1</v>
      </c>
      <c r="C2" s="2" t="s">
        <v>109</v>
      </c>
      <c r="D2" s="11" t="n">
        <v>0</v>
      </c>
      <c r="E2" s="2" t="s">
        <v>110</v>
      </c>
      <c r="F2" s="4" t="n">
        <v>2.5</v>
      </c>
      <c r="G2" s="2" t="s">
        <v>111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108</v>
      </c>
      <c r="B3" s="2" t="n">
        <v>2</v>
      </c>
      <c r="C3" s="2" t="s">
        <v>112</v>
      </c>
      <c r="D3" s="11" t="n">
        <v>120</v>
      </c>
      <c r="E3" s="2" t="s">
        <v>110</v>
      </c>
      <c r="F3" s="4" t="n">
        <v>4</v>
      </c>
      <c r="G3" s="2" t="s">
        <v>111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108</v>
      </c>
      <c r="B4" s="2" t="n">
        <v>3</v>
      </c>
      <c r="C4" s="2" t="s">
        <v>113</v>
      </c>
      <c r="D4" s="11" t="n">
        <v>1000</v>
      </c>
      <c r="E4" s="2" t="s">
        <v>110</v>
      </c>
      <c r="F4" s="4" t="n">
        <v>6</v>
      </c>
      <c r="G4" s="2" t="s">
        <v>111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114</v>
      </c>
      <c r="B5" s="2" t="n">
        <v>1</v>
      </c>
      <c r="C5" s="2" t="s">
        <v>115</v>
      </c>
      <c r="D5" s="11" t="n">
        <v>0</v>
      </c>
      <c r="E5" s="2" t="s">
        <v>116</v>
      </c>
      <c r="F5" s="4" t="n">
        <v>1</v>
      </c>
      <c r="G5" s="2" t="s">
        <v>117</v>
      </c>
      <c r="H5" s="2" t="s">
        <v>118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114</v>
      </c>
      <c r="B6" s="2" t="n">
        <v>2</v>
      </c>
      <c r="C6" s="2" t="s">
        <v>119</v>
      </c>
      <c r="D6" s="11" t="n">
        <v>60</v>
      </c>
      <c r="E6" s="2" t="s">
        <v>116</v>
      </c>
      <c r="F6" s="4" t="n">
        <v>3</v>
      </c>
      <c r="G6" s="2" t="s">
        <v>117</v>
      </c>
      <c r="H6" s="2" t="s">
        <v>120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114</v>
      </c>
      <c r="B7" s="2" t="n">
        <v>3</v>
      </c>
      <c r="C7" s="2" t="s">
        <v>121</v>
      </c>
      <c r="D7" s="11" t="n">
        <v>900</v>
      </c>
      <c r="E7" s="2" t="s">
        <v>116</v>
      </c>
      <c r="F7" s="4" t="n">
        <v>8</v>
      </c>
      <c r="G7" s="2" t="s">
        <v>117</v>
      </c>
      <c r="H7" s="2" t="s">
        <v>122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123</v>
      </c>
      <c r="B8" s="2" t="n">
        <v>1</v>
      </c>
      <c r="C8" s="2" t="s">
        <v>124</v>
      </c>
      <c r="D8" s="11" t="n">
        <v>0</v>
      </c>
      <c r="E8" s="2" t="s">
        <v>125</v>
      </c>
      <c r="F8" s="4" t="n">
        <v>80</v>
      </c>
      <c r="G8" s="2" t="s">
        <v>126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123</v>
      </c>
      <c r="B9" s="2" t="n">
        <v>2</v>
      </c>
      <c r="C9" s="2" t="s">
        <v>127</v>
      </c>
      <c r="D9" s="11" t="n">
        <v>150</v>
      </c>
      <c r="E9" s="2" t="s">
        <v>125</v>
      </c>
      <c r="F9" s="4" t="n">
        <v>140</v>
      </c>
      <c r="G9" s="2" t="s">
        <v>126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123</v>
      </c>
      <c r="B10" s="2" t="n">
        <v>3</v>
      </c>
      <c r="C10" s="2" t="s">
        <v>128</v>
      </c>
      <c r="D10" s="11" t="n">
        <v>1400</v>
      </c>
      <c r="E10" s="2" t="s">
        <v>125</v>
      </c>
      <c r="F10" s="4" t="n">
        <v>240</v>
      </c>
      <c r="G10" s="2" t="s">
        <v>126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129</v>
      </c>
      <c r="B11" s="2" t="n">
        <v>1</v>
      </c>
      <c r="C11" s="2" t="s">
        <v>130</v>
      </c>
      <c r="D11" s="11" t="n">
        <v>0</v>
      </c>
      <c r="E11" s="2" t="s">
        <v>131</v>
      </c>
      <c r="F11" s="4" t="n">
        <v>4</v>
      </c>
      <c r="G11" s="2" t="s">
        <v>132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129</v>
      </c>
      <c r="B12" s="2" t="n">
        <v>2</v>
      </c>
      <c r="C12" s="2" t="s">
        <v>133</v>
      </c>
      <c r="D12" s="11" t="n">
        <v>90</v>
      </c>
      <c r="E12" s="2" t="s">
        <v>131</v>
      </c>
      <c r="F12" s="4" t="n">
        <v>5.5</v>
      </c>
      <c r="G12" s="2" t="s">
        <v>132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129</v>
      </c>
      <c r="B13" s="2" t="n">
        <v>3</v>
      </c>
      <c r="C13" s="2" t="s">
        <v>134</v>
      </c>
      <c r="D13" s="11" t="n">
        <v>1200</v>
      </c>
      <c r="E13" s="2" t="s">
        <v>131</v>
      </c>
      <c r="F13" s="4" t="n">
        <v>7</v>
      </c>
      <c r="G13" s="2" t="s">
        <v>132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135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136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</row>
    <row r="2" customFormat="false" ht="15" hidden="false" customHeight="false" outlineLevel="0" collapsed="false">
      <c r="A2" s="2" t="s">
        <v>142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143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144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145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146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147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148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149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150</v>
      </c>
    </row>
    <row r="12" customFormat="false" ht="26.85" hidden="false" customHeight="false" outlineLevel="0" collapsed="false">
      <c r="A12" s="7" t="s">
        <v>151</v>
      </c>
      <c r="B12" s="7" t="s">
        <v>152</v>
      </c>
      <c r="C12" s="7" t="s">
        <v>115</v>
      </c>
      <c r="D12" s="7" t="s">
        <v>119</v>
      </c>
      <c r="E12" s="7" t="s">
        <v>121</v>
      </c>
    </row>
    <row r="13" customFormat="false" ht="15" hidden="false" customHeight="false" outlineLevel="0" collapsed="false">
      <c r="A13" s="2" t="s">
        <v>153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154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155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157</v>
      </c>
      <c r="B1" s="7" t="s">
        <v>158</v>
      </c>
    </row>
    <row r="2" customFormat="false" ht="15" hidden="false" customHeight="false" outlineLevel="0" collapsed="false">
      <c r="A2" s="2" t="s">
        <v>159</v>
      </c>
      <c r="B2" s="4" t="n">
        <v>9</v>
      </c>
    </row>
    <row r="3" customFormat="false" ht="15" hidden="false" customHeight="false" outlineLevel="0" collapsed="false">
      <c r="A3" s="2" t="s">
        <v>160</v>
      </c>
      <c r="B3" s="4" t="n">
        <v>24</v>
      </c>
    </row>
    <row r="4" customFormat="false" ht="15" hidden="false" customHeight="false" outlineLevel="0" collapsed="false">
      <c r="A4" s="2" t="s">
        <v>161</v>
      </c>
      <c r="B4" s="4" t="n">
        <v>68</v>
      </c>
    </row>
    <row r="5" customFormat="false" ht="15" hidden="false" customHeight="false" outlineLevel="0" collapsed="false">
      <c r="A5" s="2" t="s">
        <v>162</v>
      </c>
      <c r="B5" s="4" t="n">
        <v>165</v>
      </c>
    </row>
    <row r="7" customFormat="false" ht="26.85" hidden="false" customHeight="false" outlineLevel="0" collapsed="false">
      <c r="A7" s="7" t="s">
        <v>163</v>
      </c>
      <c r="B7" s="7" t="s">
        <v>159</v>
      </c>
      <c r="C7" s="7" t="s">
        <v>160</v>
      </c>
      <c r="D7" s="7" t="s">
        <v>161</v>
      </c>
      <c r="E7" s="7" t="s">
        <v>162</v>
      </c>
      <c r="F7" s="7" t="s">
        <v>164</v>
      </c>
      <c r="G7" s="7" t="s">
        <v>158</v>
      </c>
      <c r="H7" s="7" t="s">
        <v>165</v>
      </c>
      <c r="I7" s="7" t="s">
        <v>166</v>
      </c>
    </row>
    <row r="8" customFormat="false" ht="15" hidden="false" customHeight="false" outlineLevel="0" collapsed="false">
      <c r="A8" s="2" t="s">
        <v>167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168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169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170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172</v>
      </c>
      <c r="B1" s="7" t="s">
        <v>173</v>
      </c>
      <c r="C1" s="7" t="s">
        <v>174</v>
      </c>
      <c r="D1" s="7" t="s">
        <v>167</v>
      </c>
      <c r="E1" s="7" t="s">
        <v>168</v>
      </c>
      <c r="F1" s="7" t="s">
        <v>169</v>
      </c>
      <c r="G1" s="7" t="s">
        <v>170</v>
      </c>
      <c r="H1" s="7" t="s">
        <v>175</v>
      </c>
      <c r="I1" s="7" t="s">
        <v>176</v>
      </c>
      <c r="J1" s="7" t="s">
        <v>177</v>
      </c>
      <c r="K1" s="7" t="s">
        <v>178</v>
      </c>
      <c r="L1" s="7" t="s">
        <v>179</v>
      </c>
      <c r="M1" s="7" t="s">
        <v>180</v>
      </c>
      <c r="N1" s="7" t="s">
        <v>181</v>
      </c>
      <c r="O1" s="7" t="s">
        <v>182</v>
      </c>
      <c r="P1" s="7" t="s">
        <v>183</v>
      </c>
    </row>
    <row r="2" customFormat="false" ht="15" hidden="false" customHeight="false" outlineLevel="0" collapsed="false">
      <c r="A2" s="2" t="s">
        <v>184</v>
      </c>
      <c r="B2" s="2" t="s">
        <v>185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186</v>
      </c>
    </row>
    <row r="3" customFormat="false" ht="15" hidden="false" customHeight="false" outlineLevel="0" collapsed="false">
      <c r="A3" s="2" t="s">
        <v>187</v>
      </c>
      <c r="B3" s="2" t="s">
        <v>185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186</v>
      </c>
    </row>
    <row r="4" customFormat="false" ht="15" hidden="false" customHeight="false" outlineLevel="0" collapsed="false">
      <c r="A4" s="2" t="s">
        <v>188</v>
      </c>
      <c r="B4" s="2" t="s">
        <v>185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186</v>
      </c>
    </row>
    <row r="5" customFormat="false" ht="15" hidden="false" customHeight="false" outlineLevel="0" collapsed="false">
      <c r="A5" s="2" t="s">
        <v>189</v>
      </c>
      <c r="B5" s="2" t="s">
        <v>185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186</v>
      </c>
    </row>
    <row r="6" customFormat="false" ht="15" hidden="false" customHeight="false" outlineLevel="0" collapsed="false">
      <c r="A6" s="2" t="s">
        <v>190</v>
      </c>
      <c r="B6" s="2" t="s">
        <v>191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192</v>
      </c>
    </row>
    <row r="7" customFormat="false" ht="15" hidden="false" customHeight="false" outlineLevel="0" collapsed="false">
      <c r="A7" s="2" t="s">
        <v>193</v>
      </c>
      <c r="B7" s="2" t="s">
        <v>191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192</v>
      </c>
    </row>
    <row r="8" customFormat="false" ht="15" hidden="false" customHeight="false" outlineLevel="0" collapsed="false">
      <c r="A8" s="2" t="s">
        <v>194</v>
      </c>
      <c r="B8" s="2" t="s">
        <v>195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196</v>
      </c>
    </row>
    <row r="9" customFormat="false" ht="15" hidden="false" customHeight="false" outlineLevel="0" collapsed="false">
      <c r="A9" s="2" t="s">
        <v>197</v>
      </c>
      <c r="B9" s="2" t="s">
        <v>198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196</v>
      </c>
    </row>
    <row r="10" customFormat="false" ht="15" hidden="false" customHeight="false" outlineLevel="0" collapsed="false">
      <c r="A10" s="2" t="s">
        <v>199</v>
      </c>
      <c r="B10" s="2" t="s">
        <v>200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196</v>
      </c>
    </row>
    <row r="12" customFormat="false" ht="15" hidden="false" customHeight="false" outlineLevel="0" collapsed="false">
      <c r="A12" s="6" t="s">
        <v>201</v>
      </c>
    </row>
    <row r="13" customFormat="false" ht="15" hidden="false" customHeight="false" outlineLevel="0" collapsed="false">
      <c r="A13" s="6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136</v>
      </c>
      <c r="B1" s="7" t="s">
        <v>141</v>
      </c>
      <c r="C1" s="7" t="s">
        <v>203</v>
      </c>
      <c r="D1" s="7" t="s">
        <v>204</v>
      </c>
      <c r="E1" s="7" t="s">
        <v>205</v>
      </c>
      <c r="F1" s="7" t="s">
        <v>206</v>
      </c>
    </row>
    <row r="2" customFormat="false" ht="15" hidden="false" customHeight="false" outlineLevel="0" collapsed="false">
      <c r="A2" s="2" t="s">
        <v>142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143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144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145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148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207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159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160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161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162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208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146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147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79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123</v>
      </c>
      <c r="B1" s="7" t="s">
        <v>125</v>
      </c>
      <c r="C1" s="7" t="s">
        <v>129</v>
      </c>
      <c r="D1" s="7" t="s">
        <v>132</v>
      </c>
      <c r="E1" s="7" t="s">
        <v>210</v>
      </c>
      <c r="F1" s="7" t="s">
        <v>211</v>
      </c>
      <c r="G1" s="7" t="s">
        <v>212</v>
      </c>
    </row>
    <row r="2" customFormat="false" ht="15" hidden="false" customHeight="false" outlineLevel="0" collapsed="false">
      <c r="A2" s="2" t="s">
        <v>124</v>
      </c>
      <c r="B2" s="5" t="n">
        <f aca="false">Parts!$F$8</f>
        <v>80</v>
      </c>
      <c r="C2" s="2" t="s">
        <v>130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124</v>
      </c>
      <c r="B3" s="5" t="n">
        <f aca="false">Parts!$F$8</f>
        <v>80</v>
      </c>
      <c r="C3" s="2" t="s">
        <v>133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124</v>
      </c>
      <c r="B4" s="5" t="n">
        <f aca="false">Parts!$F$8</f>
        <v>80</v>
      </c>
      <c r="C4" s="2" t="s">
        <v>134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127</v>
      </c>
      <c r="B5" s="5" t="n">
        <f aca="false">Parts!$F$9</f>
        <v>140</v>
      </c>
      <c r="C5" s="2" t="s">
        <v>130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127</v>
      </c>
      <c r="B6" s="5" t="n">
        <f aca="false">Parts!$F$9</f>
        <v>140</v>
      </c>
      <c r="C6" s="2" t="s">
        <v>133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127</v>
      </c>
      <c r="B7" s="5" t="n">
        <f aca="false">Parts!$F$9</f>
        <v>140</v>
      </c>
      <c r="C7" s="2" t="s">
        <v>134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128</v>
      </c>
      <c r="B8" s="5" t="n">
        <f aca="false">Parts!$F$10</f>
        <v>240</v>
      </c>
      <c r="C8" s="2" t="s">
        <v>130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128</v>
      </c>
      <c r="B9" s="5" t="n">
        <f aca="false">Parts!$F$10</f>
        <v>240</v>
      </c>
      <c r="C9" s="2" t="s">
        <v>133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128</v>
      </c>
      <c r="B10" s="5" t="n">
        <f aca="false">Parts!$F$10</f>
        <v>240</v>
      </c>
      <c r="C10" s="2" t="s">
        <v>134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214</v>
      </c>
      <c r="B1" s="7" t="s">
        <v>215</v>
      </c>
      <c r="C1" s="7" t="s">
        <v>216</v>
      </c>
      <c r="D1" s="7" t="s">
        <v>217</v>
      </c>
      <c r="E1" s="7" t="s">
        <v>218</v>
      </c>
    </row>
    <row r="2" customFormat="false" ht="15" hidden="false" customHeight="false" outlineLevel="0" collapsed="false">
      <c r="A2" s="2" t="s">
        <v>219</v>
      </c>
      <c r="B2" s="12" t="n">
        <f aca="false">Parts!D6</f>
        <v>60</v>
      </c>
      <c r="D2" s="20" t="n">
        <f aca="false">SUM($C$2:C2)-SUM($B$2:B2)</f>
        <v>-60</v>
      </c>
      <c r="E2" s="6" t="s">
        <v>220</v>
      </c>
    </row>
    <row r="3" customFormat="false" ht="15" hidden="false" customHeight="false" outlineLevel="0" collapsed="false">
      <c r="A3" s="2" t="s">
        <v>221</v>
      </c>
      <c r="B3" s="12" t="n">
        <f aca="false">Caves!O2</f>
        <v>80</v>
      </c>
      <c r="D3" s="20" t="n">
        <f aca="false">SUM($C$2:C3)-SUM($B$2:B3)</f>
        <v>-140</v>
      </c>
      <c r="E3" s="6" t="s">
        <v>222</v>
      </c>
    </row>
    <row r="4" customFormat="false" ht="15" hidden="false" customHeight="false" outlineLevel="0" collapsed="false">
      <c r="A4" s="2" t="s">
        <v>223</v>
      </c>
      <c r="C4" s="12" t="n">
        <f aca="false">Caves!N2</f>
        <v>300</v>
      </c>
      <c r="D4" s="20" t="n">
        <f aca="false">SUM($C$2:C4)-SUM($B$2:B4)</f>
        <v>160</v>
      </c>
      <c r="E4" s="6" t="s">
        <v>224</v>
      </c>
    </row>
    <row r="5" customFormat="false" ht="15" hidden="false" customHeight="false" outlineLevel="0" collapsed="false">
      <c r="A5" s="2" t="s">
        <v>225</v>
      </c>
      <c r="B5" s="12" t="n">
        <f aca="false">Parts!D3</f>
        <v>120</v>
      </c>
      <c r="D5" s="20" t="n">
        <f aca="false">SUM($C$2:C5)-SUM($B$2:B5)</f>
        <v>40</v>
      </c>
      <c r="E5" s="6" t="s">
        <v>226</v>
      </c>
    </row>
    <row r="6" customFormat="false" ht="15" hidden="false" customHeight="false" outlineLevel="0" collapsed="false">
      <c r="A6" s="2" t="s">
        <v>227</v>
      </c>
      <c r="B6" s="12" t="n">
        <f aca="false">Parts!D9</f>
        <v>150</v>
      </c>
      <c r="D6" s="20" t="n">
        <f aca="false">SUM($C$2:C6)-SUM($B$2:B6)</f>
        <v>-110</v>
      </c>
      <c r="E6" s="6" t="s">
        <v>228</v>
      </c>
    </row>
    <row r="7" customFormat="false" ht="15" hidden="false" customHeight="false" outlineLevel="0" collapsed="false">
      <c r="A7" s="2" t="s">
        <v>229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230</v>
      </c>
      <c r="C8" s="12" t="n">
        <f aca="false">Caves!N3</f>
        <v>800</v>
      </c>
      <c r="D8" s="20" t="n">
        <f aca="false">SUM($C$2:C8)-SUM($B$2:B8)</f>
        <v>490</v>
      </c>
      <c r="E8" s="6" t="s">
        <v>231</v>
      </c>
    </row>
    <row r="9" customFormat="false" ht="15" hidden="false" customHeight="false" outlineLevel="0" collapsed="false">
      <c r="A9" s="2" t="s">
        <v>232</v>
      </c>
      <c r="B9" s="12" t="n">
        <f aca="false">Parts!D7</f>
        <v>900</v>
      </c>
      <c r="D9" s="20" t="n">
        <f aca="false">SUM($C$2:C9)-SUM($B$2:B9)</f>
        <v>-410</v>
      </c>
      <c r="E9" s="6" t="s">
        <v>233</v>
      </c>
    </row>
    <row r="10" customFormat="false" ht="15" hidden="false" customHeight="false" outlineLevel="0" collapsed="false">
      <c r="A10" s="2" t="s">
        <v>234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235</v>
      </c>
      <c r="C11" s="12" t="n">
        <f aca="false">Caves!N4</f>
        <v>2000</v>
      </c>
      <c r="D11" s="20" t="n">
        <f aca="false">SUM($C$2:C11)-SUM($B$2:B11)</f>
        <v>1090</v>
      </c>
      <c r="E11" s="6" t="s">
        <v>236</v>
      </c>
    </row>
    <row r="13" customFormat="false" ht="15" hidden="false" customHeight="false" outlineLevel="0" collapsed="false">
      <c r="A13" s="6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7" t="s">
        <v>238</v>
      </c>
      <c r="B1" s="7" t="s">
        <v>239</v>
      </c>
      <c r="C1" s="7" t="s">
        <v>240</v>
      </c>
      <c r="D1" s="7" t="s">
        <v>241</v>
      </c>
      <c r="E1" s="7" t="s">
        <v>242</v>
      </c>
      <c r="F1" s="7" t="s">
        <v>243</v>
      </c>
    </row>
    <row r="2" customFormat="false" ht="15" hidden="false" customHeight="false" outlineLevel="0" collapsed="false">
      <c r="A2" s="2" t="s">
        <v>244</v>
      </c>
      <c r="B2" s="2" t="n">
        <v>1</v>
      </c>
      <c r="C2" s="11" t="n">
        <v>40</v>
      </c>
      <c r="D2" s="4" t="n">
        <v>3</v>
      </c>
      <c r="E2" s="13" t="n">
        <f aca="false">C2*D2</f>
        <v>120</v>
      </c>
      <c r="F2" s="6" t="s">
        <v>245</v>
      </c>
    </row>
    <row r="3" customFormat="false" ht="15" hidden="false" customHeight="false" outlineLevel="0" collapsed="false">
      <c r="A3" s="2" t="s">
        <v>246</v>
      </c>
      <c r="B3" s="2" t="n">
        <v>2</v>
      </c>
      <c r="C3" s="11" t="n">
        <v>15</v>
      </c>
      <c r="D3" s="4" t="n">
        <v>5</v>
      </c>
      <c r="E3" s="13" t="n">
        <f aca="false">C3*D3</f>
        <v>75</v>
      </c>
      <c r="F3" s="6" t="s">
        <v>247</v>
      </c>
    </row>
    <row r="4" customFormat="false" ht="15" hidden="false" customHeight="false" outlineLevel="0" collapsed="false">
      <c r="A4" s="2" t="s">
        <v>248</v>
      </c>
      <c r="B4" s="2" t="n">
        <v>3</v>
      </c>
      <c r="C4" s="11" t="n">
        <v>10</v>
      </c>
      <c r="D4" s="4" t="n">
        <v>5</v>
      </c>
      <c r="E4" s="13" t="n">
        <f aca="false">C4*D4</f>
        <v>50</v>
      </c>
      <c r="F4" s="6" t="s">
        <v>249</v>
      </c>
    </row>
    <row r="5" customFormat="false" ht="15" hidden="false" customHeight="false" outlineLevel="0" collapsed="false">
      <c r="A5" s="2" t="s">
        <v>250</v>
      </c>
      <c r="B5" s="2" t="n">
        <v>4</v>
      </c>
      <c r="C5" s="11" t="n">
        <v>60</v>
      </c>
      <c r="D5" s="4" t="n">
        <v>2</v>
      </c>
      <c r="E5" s="13" t="n">
        <f aca="false">C5*D5</f>
        <v>120</v>
      </c>
      <c r="F5" s="6" t="s">
        <v>251</v>
      </c>
    </row>
    <row r="7" customFormat="false" ht="26.85" hidden="false" customHeight="false" outlineLevel="0" collapsed="false">
      <c r="A7" s="7" t="s">
        <v>123</v>
      </c>
      <c r="B7" s="7" t="s">
        <v>252</v>
      </c>
    </row>
    <row r="8" customFormat="false" ht="15" hidden="false" customHeight="false" outlineLevel="0" collapsed="false">
      <c r="A8" s="2" t="s">
        <v>124</v>
      </c>
      <c r="B8" s="2" t="n">
        <f aca="false">$B$12+0</f>
        <v>3</v>
      </c>
    </row>
    <row r="9" customFormat="false" ht="15" hidden="false" customHeight="false" outlineLevel="0" collapsed="false">
      <c r="A9" s="2" t="s">
        <v>127</v>
      </c>
      <c r="B9" s="2" t="n">
        <f aca="false">$B$12+1</f>
        <v>4</v>
      </c>
    </row>
    <row r="10" customFormat="false" ht="15" hidden="false" customHeight="false" outlineLevel="0" collapsed="false">
      <c r="A10" s="2" t="s">
        <v>128</v>
      </c>
      <c r="B10" s="2" t="n">
        <f aca="false">$B$12+2</f>
        <v>5</v>
      </c>
    </row>
    <row r="12" customFormat="false" ht="15" hidden="false" customHeight="false" outlineLevel="0" collapsed="false">
      <c r="A12" s="2" t="s">
        <v>253</v>
      </c>
      <c r="B12" s="4" t="n">
        <v>3</v>
      </c>
    </row>
    <row r="13" customFormat="false" ht="15" hidden="false" customHeight="false" outlineLevel="0" collapsed="false">
      <c r="A13" s="6" t="s">
        <v>254</v>
      </c>
    </row>
    <row r="15" customFormat="false" ht="26.85" hidden="false" customHeight="false" outlineLevel="0" collapsed="false">
      <c r="A15" s="7" t="s">
        <v>255</v>
      </c>
      <c r="B15" s="7" t="s">
        <v>174</v>
      </c>
      <c r="C15" s="7" t="s">
        <v>167</v>
      </c>
      <c r="D15" s="7" t="s">
        <v>168</v>
      </c>
      <c r="E15" s="7" t="s">
        <v>169</v>
      </c>
      <c r="F15" s="7" t="s">
        <v>170</v>
      </c>
      <c r="G15" s="7" t="s">
        <v>175</v>
      </c>
      <c r="H15" s="7" t="s">
        <v>256</v>
      </c>
      <c r="I15" s="7" t="s">
        <v>257</v>
      </c>
      <c r="J15" s="7" t="s">
        <v>258</v>
      </c>
      <c r="K15" s="7" t="s">
        <v>259</v>
      </c>
      <c r="L15" s="7" t="s">
        <v>260</v>
      </c>
    </row>
    <row r="16" customFormat="false" ht="15" hidden="false" customHeight="false" outlineLevel="0" collapsed="false">
      <c r="A16" s="2" t="s">
        <v>261</v>
      </c>
      <c r="B16" s="4" t="n">
        <v>1</v>
      </c>
      <c r="C16" s="4" t="n">
        <v>3</v>
      </c>
      <c r="D16" s="4" t="n">
        <v>1</v>
      </c>
      <c r="E16" s="4" t="n">
        <v>0</v>
      </c>
      <c r="F16" s="4" t="n">
        <v>0</v>
      </c>
      <c r="G16" s="4" t="n">
        <v>150</v>
      </c>
      <c r="H16" s="4" t="n">
        <v>3</v>
      </c>
      <c r="I16" s="4" t="n">
        <v>8</v>
      </c>
      <c r="J16" s="4" t="n">
        <v>6</v>
      </c>
      <c r="K16" s="4" t="n">
        <v>4</v>
      </c>
      <c r="L16" s="15" t="n">
        <f aca="false">60/K16</f>
        <v>15</v>
      </c>
    </row>
    <row r="17" customFormat="false" ht="15" hidden="false" customHeight="false" outlineLevel="0" collapsed="false">
      <c r="A17" s="2" t="s">
        <v>262</v>
      </c>
      <c r="B17" s="4" t="n">
        <v>1</v>
      </c>
      <c r="C17" s="4" t="n">
        <v>0</v>
      </c>
      <c r="D17" s="4" t="n">
        <v>2</v>
      </c>
      <c r="E17" s="4" t="n">
        <v>1</v>
      </c>
      <c r="F17" s="4" t="n">
        <v>0</v>
      </c>
      <c r="G17" s="4" t="n">
        <v>250</v>
      </c>
      <c r="H17" s="4" t="n">
        <v>5</v>
      </c>
      <c r="I17" s="4" t="n">
        <v>20</v>
      </c>
      <c r="J17" s="4" t="n">
        <v>16</v>
      </c>
      <c r="K17" s="4" t="n">
        <v>12</v>
      </c>
      <c r="L17" s="15" t="n">
        <f aca="false">60/K17</f>
        <v>5</v>
      </c>
    </row>
    <row r="18" customFormat="false" ht="15" hidden="false" customHeight="false" outlineLevel="0" collapsed="false">
      <c r="A18" s="2" t="s">
        <v>263</v>
      </c>
      <c r="B18" s="4" t="n">
        <v>1</v>
      </c>
      <c r="C18" s="4" t="n">
        <v>0</v>
      </c>
      <c r="D18" s="4" t="n">
        <v>2</v>
      </c>
      <c r="E18" s="4" t="n">
        <v>0</v>
      </c>
      <c r="F18" s="4" t="n">
        <v>1</v>
      </c>
      <c r="G18" s="4" t="n">
        <v>250</v>
      </c>
      <c r="H18" s="4" t="n">
        <v>0</v>
      </c>
      <c r="I18" s="4" t="n">
        <v>15</v>
      </c>
      <c r="J18" s="4" t="n">
        <v>12</v>
      </c>
      <c r="K18" s="4" t="n">
        <v>9</v>
      </c>
      <c r="L18" s="15" t="n">
        <f aca="false">60/K18</f>
        <v>6.66666666666667</v>
      </c>
    </row>
    <row r="19" customFormat="false" ht="15" hidden="false" customHeight="false" outlineLevel="0" collapsed="false">
      <c r="A19" s="2" t="s">
        <v>264</v>
      </c>
      <c r="B19" s="4" t="n">
        <v>2</v>
      </c>
      <c r="C19" s="4" t="n">
        <v>0</v>
      </c>
      <c r="D19" s="4" t="n">
        <v>0</v>
      </c>
      <c r="E19" s="4" t="n">
        <v>2</v>
      </c>
      <c r="F19" s="4" t="n">
        <v>1</v>
      </c>
      <c r="G19" s="4" t="n">
        <v>400</v>
      </c>
      <c r="H19" s="4" t="n">
        <v>0</v>
      </c>
      <c r="I19" s="4" t="n">
        <v>30</v>
      </c>
      <c r="J19" s="4" t="n">
        <v>25</v>
      </c>
      <c r="K19" s="4" t="n">
        <v>20</v>
      </c>
      <c r="L19" s="15" t="n">
        <f aca="false">60/K19</f>
        <v>3</v>
      </c>
    </row>
    <row r="21" customFormat="false" ht="15" hidden="false" customHeight="false" outlineLevel="0" collapsed="false">
      <c r="A21" s="6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7" t="s">
        <v>266</v>
      </c>
      <c r="B1" s="7" t="s">
        <v>67</v>
      </c>
      <c r="C1" s="7" t="s">
        <v>267</v>
      </c>
      <c r="D1" s="7" t="s">
        <v>268</v>
      </c>
      <c r="E1" s="7" t="s">
        <v>269</v>
      </c>
      <c r="F1" s="7" t="s">
        <v>270</v>
      </c>
    </row>
    <row r="2" customFormat="false" ht="15" hidden="false" customHeight="false" outlineLevel="0" collapsed="false">
      <c r="A2" s="2" t="s">
        <v>271</v>
      </c>
      <c r="B2" s="2" t="n">
        <v>3</v>
      </c>
      <c r="C2" s="8" t="n">
        <v>0.25</v>
      </c>
      <c r="D2" s="8" t="n">
        <v>0.3</v>
      </c>
      <c r="E2" s="2" t="s">
        <v>272</v>
      </c>
      <c r="F2" s="2" t="s">
        <v>273</v>
      </c>
    </row>
    <row r="3" customFormat="false" ht="15" hidden="false" customHeight="false" outlineLevel="0" collapsed="false">
      <c r="A3" s="2" t="s">
        <v>274</v>
      </c>
      <c r="B3" s="2" t="n">
        <v>1</v>
      </c>
      <c r="C3" s="8" t="n">
        <v>0.05</v>
      </c>
      <c r="D3" s="8" t="n">
        <v>0</v>
      </c>
      <c r="E3" s="2" t="s">
        <v>275</v>
      </c>
      <c r="F3" s="2" t="s">
        <v>276</v>
      </c>
    </row>
    <row r="4" customFormat="false" ht="15" hidden="false" customHeight="false" outlineLevel="0" collapsed="false">
      <c r="A4" s="2" t="s">
        <v>277</v>
      </c>
      <c r="B4" s="2" t="n">
        <v>2</v>
      </c>
      <c r="C4" s="8" t="n">
        <v>0.15</v>
      </c>
      <c r="D4" s="8" t="n">
        <v>0.1</v>
      </c>
      <c r="E4" s="2" t="s">
        <v>278</v>
      </c>
      <c r="F4" s="2" t="s">
        <v>279</v>
      </c>
    </row>
    <row r="5" customFormat="false" ht="15" hidden="false" customHeight="false" outlineLevel="0" collapsed="false">
      <c r="A5" s="2" t="s">
        <v>280</v>
      </c>
      <c r="B5" s="2" t="n">
        <v>3</v>
      </c>
      <c r="C5" s="8" t="n">
        <v>0.3</v>
      </c>
      <c r="D5" s="8" t="n">
        <v>0.3</v>
      </c>
      <c r="E5" s="2" t="s">
        <v>281</v>
      </c>
      <c r="F5" s="2" t="s">
        <v>282</v>
      </c>
    </row>
    <row r="6" customFormat="false" ht="15" hidden="false" customHeight="false" outlineLevel="0" collapsed="false">
      <c r="A6" s="2" t="s">
        <v>283</v>
      </c>
      <c r="B6" s="2" t="n">
        <v>2</v>
      </c>
      <c r="C6" s="2" t="s">
        <v>284</v>
      </c>
      <c r="D6" s="8" t="n">
        <v>0</v>
      </c>
      <c r="E6" s="2" t="s">
        <v>285</v>
      </c>
      <c r="F6" s="2" t="s">
        <v>286</v>
      </c>
    </row>
    <row r="8" customFormat="false" ht="15" hidden="false" customHeight="false" outlineLevel="0" collapsed="false">
      <c r="A8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3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46"/>
  </cols>
  <sheetData>
    <row r="1" customFormat="false" ht="26.85" hidden="false" customHeight="false" outlineLevel="0" collapsed="false">
      <c r="A1" s="7" t="s">
        <v>288</v>
      </c>
      <c r="B1" s="7" t="s">
        <v>289</v>
      </c>
      <c r="C1" s="7" t="s">
        <v>290</v>
      </c>
      <c r="D1" s="7" t="s">
        <v>291</v>
      </c>
      <c r="E1" s="7" t="s">
        <v>292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270</v>
      </c>
    </row>
    <row r="2" customFormat="false" ht="15" hidden="false" customHeight="false" outlineLevel="0" collapsed="false">
      <c r="A2" s="2" t="s">
        <v>299</v>
      </c>
      <c r="B2" s="2" t="s">
        <v>300</v>
      </c>
      <c r="C2" s="11" t="n">
        <v>0</v>
      </c>
      <c r="D2" s="4" t="n">
        <v>3</v>
      </c>
      <c r="E2" s="4" t="n">
        <v>0.45</v>
      </c>
      <c r="F2" s="15" t="n">
        <f aca="false">D2*$C$9/(E2*$C$10)</f>
        <v>6.66666666666667</v>
      </c>
      <c r="G2" s="15" t="n">
        <f aca="false">D2*$D$9/(E2*$D$10)</f>
        <v>11.1111111111111</v>
      </c>
      <c r="H2" s="15" t="n">
        <f aca="false">D2*$E$9/(E2*$E$10)</f>
        <v>18.3333333333333</v>
      </c>
      <c r="I2" s="8" t="n">
        <v>0.5</v>
      </c>
      <c r="J2" s="15" t="n">
        <f aca="false">F2*I2</f>
        <v>3.33333333333333</v>
      </c>
      <c r="K2" s="2" t="s">
        <v>118</v>
      </c>
      <c r="L2" s="6" t="s">
        <v>301</v>
      </c>
    </row>
    <row r="3" customFormat="false" ht="15" hidden="false" customHeight="false" outlineLevel="0" collapsed="false">
      <c r="A3" s="2" t="s">
        <v>302</v>
      </c>
      <c r="B3" s="2" t="s">
        <v>300</v>
      </c>
      <c r="C3" s="11" t="n">
        <v>180</v>
      </c>
      <c r="D3" s="4" t="n">
        <v>8</v>
      </c>
      <c r="E3" s="4" t="n">
        <v>0.7</v>
      </c>
      <c r="F3" s="15" t="n">
        <f aca="false">D3*$C$9/(E3*$C$10)</f>
        <v>11.4285714285714</v>
      </c>
      <c r="G3" s="15" t="n">
        <f aca="false">D3*$D$9/(E3*$D$10)</f>
        <v>19.047619047619</v>
      </c>
      <c r="H3" s="15" t="n">
        <f aca="false">D3*$E$9/(E3*$E$10)</f>
        <v>31.4285714285714</v>
      </c>
      <c r="I3" s="8" t="n">
        <v>0.9</v>
      </c>
      <c r="J3" s="15" t="n">
        <f aca="false">F3*I3</f>
        <v>10.2857142857143</v>
      </c>
      <c r="K3" s="2" t="s">
        <v>303</v>
      </c>
      <c r="L3" s="6" t="s">
        <v>304</v>
      </c>
    </row>
    <row r="4" customFormat="false" ht="15" hidden="false" customHeight="false" outlineLevel="0" collapsed="false">
      <c r="A4" s="2" t="s">
        <v>305</v>
      </c>
      <c r="B4" s="2" t="s">
        <v>306</v>
      </c>
      <c r="C4" s="11" t="n">
        <v>220</v>
      </c>
      <c r="D4" s="4" t="n">
        <v>3</v>
      </c>
      <c r="E4" s="4" t="n">
        <v>0.3</v>
      </c>
      <c r="F4" s="15" t="n">
        <f aca="false">D4*$C$9/(E4*$C$10)</f>
        <v>10</v>
      </c>
      <c r="G4" s="15" t="n">
        <f aca="false">D4*$D$9/(E4*$D$10)</f>
        <v>16.6666666666667</v>
      </c>
      <c r="H4" s="15" t="n">
        <f aca="false">D4*$E$9/(E4*$E$10)</f>
        <v>27.5</v>
      </c>
      <c r="I4" s="8" t="n">
        <v>0.25</v>
      </c>
      <c r="J4" s="15" t="n">
        <f aca="false">F4*I4</f>
        <v>2.5</v>
      </c>
      <c r="K4" s="2" t="s">
        <v>118</v>
      </c>
      <c r="L4" s="6" t="s">
        <v>307</v>
      </c>
    </row>
    <row r="5" customFormat="false" ht="15" hidden="false" customHeight="false" outlineLevel="0" collapsed="false">
      <c r="A5" s="2" t="s">
        <v>308</v>
      </c>
      <c r="B5" s="2" t="s">
        <v>309</v>
      </c>
      <c r="C5" s="11" t="n">
        <v>260</v>
      </c>
      <c r="D5" s="4" t="n">
        <v>2</v>
      </c>
      <c r="E5" s="4" t="n">
        <v>1.6</v>
      </c>
      <c r="F5" s="15" t="n">
        <f aca="false">D5*$C$9/(E5*$C$10)</f>
        <v>1.25</v>
      </c>
      <c r="G5" s="15" t="n">
        <f aca="false">D5*$D$9/(E5*$D$10)</f>
        <v>2.08333333333333</v>
      </c>
      <c r="H5" s="15" t="n">
        <f aca="false">D5*$E$9/(E5*$E$10)</f>
        <v>3.4375</v>
      </c>
      <c r="I5" s="8" t="n">
        <v>0.2</v>
      </c>
      <c r="J5" s="15" t="n">
        <f aca="false">F5*I5</f>
        <v>0.25</v>
      </c>
      <c r="K5" s="2" t="s">
        <v>118</v>
      </c>
      <c r="L5" s="6" t="s">
        <v>310</v>
      </c>
    </row>
    <row r="6" customFormat="false" ht="15" hidden="false" customHeight="false" outlineLevel="0" collapsed="false">
      <c r="A6" s="2" t="s">
        <v>311</v>
      </c>
      <c r="B6" s="2" t="s">
        <v>312</v>
      </c>
      <c r="C6" s="11" t="n">
        <v>300</v>
      </c>
      <c r="D6" s="4" t="n">
        <v>1</v>
      </c>
      <c r="E6" s="4" t="n">
        <v>2.5</v>
      </c>
      <c r="F6" s="15" t="n">
        <f aca="false">D6*$C$9/(E6*$C$10)</f>
        <v>0.4</v>
      </c>
      <c r="G6" s="15" t="n">
        <f aca="false">D6*$D$9/(E6*$D$10)</f>
        <v>0.666666666666667</v>
      </c>
      <c r="H6" s="15" t="n">
        <f aca="false">D6*$E$9/(E6*$E$10)</f>
        <v>1.1</v>
      </c>
      <c r="I6" s="8" t="n">
        <v>0</v>
      </c>
      <c r="J6" s="15" t="n">
        <f aca="false">F6*I6</f>
        <v>0</v>
      </c>
      <c r="K6" s="2" t="s">
        <v>313</v>
      </c>
      <c r="L6" s="6" t="s">
        <v>314</v>
      </c>
    </row>
    <row r="9" customFormat="false" ht="15" hidden="false" customHeight="false" outlineLevel="0" collapsed="false">
      <c r="A9" s="2" t="s">
        <v>315</v>
      </c>
      <c r="B9" s="2" t="s">
        <v>316</v>
      </c>
      <c r="C9" s="4" t="n">
        <v>1</v>
      </c>
      <c r="D9" s="4" t="n">
        <v>1.5</v>
      </c>
      <c r="E9" s="4" t="n">
        <v>2.2</v>
      </c>
    </row>
    <row r="10" customFormat="false" ht="15" hidden="false" customHeight="false" outlineLevel="0" collapsed="false">
      <c r="B10" s="2" t="s">
        <v>317</v>
      </c>
      <c r="C10" s="4" t="n">
        <v>1</v>
      </c>
      <c r="D10" s="4" t="n">
        <v>0.9</v>
      </c>
      <c r="E10" s="4" t="n">
        <v>0.8</v>
      </c>
    </row>
    <row r="12" customFormat="false" ht="15" hidden="false" customHeight="false" outlineLevel="0" collapsed="false">
      <c r="A12" s="6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6"/>
    <col collapsed="false" customWidth="true" hidden="false" outlineLevel="0" max="10" min="10" style="0" width="15"/>
  </cols>
  <sheetData>
    <row r="1" customFormat="false" ht="26.85" hidden="false" customHeight="false" outlineLevel="0" collapsed="false">
      <c r="A1" s="7" t="s">
        <v>319</v>
      </c>
      <c r="B1" s="7" t="s">
        <v>320</v>
      </c>
      <c r="C1" s="7" t="s">
        <v>321</v>
      </c>
      <c r="D1" s="7" t="s">
        <v>322</v>
      </c>
      <c r="E1" s="7" t="s">
        <v>323</v>
      </c>
      <c r="F1" s="7" t="s">
        <v>324</v>
      </c>
      <c r="G1" s="7" t="s">
        <v>175</v>
      </c>
      <c r="H1" s="7" t="s">
        <v>325</v>
      </c>
      <c r="I1" s="7" t="s">
        <v>326</v>
      </c>
      <c r="J1" s="7" t="s">
        <v>327</v>
      </c>
    </row>
    <row r="2" customFormat="false" ht="15" hidden="false" customHeight="false" outlineLevel="0" collapsed="false">
      <c r="A2" s="2" t="s">
        <v>328</v>
      </c>
      <c r="B2" s="2" t="s">
        <v>329</v>
      </c>
      <c r="C2" s="4" t="n">
        <v>10</v>
      </c>
      <c r="D2" s="4" t="n">
        <v>6</v>
      </c>
      <c r="E2" s="4" t="n">
        <v>1.2</v>
      </c>
      <c r="F2" s="8" t="n">
        <v>0</v>
      </c>
      <c r="G2" s="4" t="n">
        <v>3</v>
      </c>
      <c r="H2" s="21" t="n">
        <f aca="false">C2/(Weapons!$F$2*(1-F2))</f>
        <v>1.5</v>
      </c>
      <c r="I2" s="21" t="n">
        <f aca="false">C2/Weapons!$F$3</f>
        <v>0.875</v>
      </c>
      <c r="J2" s="21" t="n">
        <f aca="false">C2/(Weapons!$F$4*(1-F2))</f>
        <v>1</v>
      </c>
    </row>
    <row r="3" customFormat="false" ht="15" hidden="false" customHeight="false" outlineLevel="0" collapsed="false">
      <c r="A3" s="2" t="s">
        <v>330</v>
      </c>
      <c r="B3" s="2" t="s">
        <v>329</v>
      </c>
      <c r="C3" s="4" t="n">
        <v>5</v>
      </c>
      <c r="D3" s="4" t="n">
        <v>4</v>
      </c>
      <c r="E3" s="4" t="n">
        <v>3.6</v>
      </c>
      <c r="F3" s="8" t="n">
        <v>0</v>
      </c>
      <c r="G3" s="4" t="n">
        <v>2</v>
      </c>
      <c r="H3" s="21" t="n">
        <f aca="false">C3/(Weapons!$F$2*(1-F3))</f>
        <v>0.75</v>
      </c>
      <c r="I3" s="21" t="n">
        <f aca="false">C3/Weapons!$F$3</f>
        <v>0.4375</v>
      </c>
      <c r="J3" s="21" t="n">
        <f aca="false">C3/(Weapons!$F$4*(1-F3))</f>
        <v>0.5</v>
      </c>
    </row>
    <row r="4" customFormat="false" ht="15" hidden="false" customHeight="false" outlineLevel="0" collapsed="false">
      <c r="A4" s="2" t="s">
        <v>331</v>
      </c>
      <c r="B4" s="2" t="s">
        <v>332</v>
      </c>
      <c r="C4" s="4" t="n">
        <v>14</v>
      </c>
      <c r="D4" s="4" t="n">
        <v>8</v>
      </c>
      <c r="E4" s="4" t="n">
        <v>0</v>
      </c>
      <c r="F4" s="8" t="n">
        <v>0</v>
      </c>
      <c r="G4" s="4" t="n">
        <v>6</v>
      </c>
      <c r="H4" s="21" t="n">
        <f aca="false">C4/(Weapons!$F$2*(1-F4))</f>
        <v>2.1</v>
      </c>
      <c r="I4" s="21" t="n">
        <f aca="false">C4/Weapons!$F$3</f>
        <v>1.225</v>
      </c>
      <c r="J4" s="21" t="n">
        <f aca="false">C4/(Weapons!$F$4*(1-F4))</f>
        <v>1.4</v>
      </c>
    </row>
    <row r="5" customFormat="false" ht="15" hidden="false" customHeight="false" outlineLevel="0" collapsed="false">
      <c r="A5" s="2" t="s">
        <v>333</v>
      </c>
      <c r="B5" s="2" t="s">
        <v>334</v>
      </c>
      <c r="C5" s="4" t="n">
        <v>22</v>
      </c>
      <c r="D5" s="4" t="n">
        <v>10</v>
      </c>
      <c r="E5" s="4" t="n">
        <v>1.6</v>
      </c>
      <c r="F5" s="8" t="n">
        <v>0.7</v>
      </c>
      <c r="G5" s="4" t="n">
        <v>8</v>
      </c>
      <c r="H5" s="21" t="n">
        <f aca="false">C5/(Weapons!$F$2*(1-F5))</f>
        <v>11</v>
      </c>
      <c r="I5" s="21" t="n">
        <f aca="false">C5/Weapons!$F$3</f>
        <v>1.925</v>
      </c>
      <c r="J5" s="21" t="n">
        <f aca="false">C5/(Weapons!$F$4*(1-F5))</f>
        <v>7.33333333333333</v>
      </c>
    </row>
    <row r="6" customFormat="false" ht="15" hidden="false" customHeight="false" outlineLevel="0" collapsed="false">
      <c r="A6" s="2" t="s">
        <v>335</v>
      </c>
      <c r="B6" s="2" t="s">
        <v>336</v>
      </c>
      <c r="C6" s="4" t="n">
        <v>3</v>
      </c>
      <c r="D6" s="4" t="n">
        <v>3</v>
      </c>
      <c r="E6" s="4" t="n">
        <v>3</v>
      </c>
      <c r="F6" s="8" t="n">
        <v>0</v>
      </c>
      <c r="G6" s="4" t="n">
        <v>1</v>
      </c>
      <c r="H6" s="21" t="n">
        <f aca="false">C6/(Weapons!$F$2*(1-F6))</f>
        <v>0.45</v>
      </c>
      <c r="I6" s="21" t="n">
        <f aca="false">C6/Weapons!$F$3</f>
        <v>0.2625</v>
      </c>
      <c r="J6" s="21" t="n">
        <f aca="false">C6/(Weapons!$F$4*(1-F6))</f>
        <v>0.3</v>
      </c>
    </row>
    <row r="7" customFormat="false" ht="15" hidden="false" customHeight="false" outlineLevel="0" collapsed="false">
      <c r="A7" s="2" t="s">
        <v>337</v>
      </c>
      <c r="B7" s="2" t="s">
        <v>338</v>
      </c>
      <c r="C7" s="4" t="n">
        <v>70</v>
      </c>
      <c r="D7" s="4" t="n">
        <v>7</v>
      </c>
      <c r="E7" s="4" t="n">
        <v>0.8</v>
      </c>
      <c r="F7" s="8" t="n">
        <v>0</v>
      </c>
      <c r="G7" s="4" t="n">
        <v>150</v>
      </c>
      <c r="H7" s="21" t="n">
        <f aca="false">C7/(Weapons!$F$2*(1-F7))</f>
        <v>10.5</v>
      </c>
      <c r="I7" s="21" t="n">
        <f aca="false">C7/Weapons!$F$3</f>
        <v>6.125</v>
      </c>
      <c r="J7" s="21" t="n">
        <f aca="false">C7/(Weapons!$F$4*(1-F7))</f>
        <v>7</v>
      </c>
    </row>
    <row r="8" customFormat="false" ht="15" hidden="false" customHeight="false" outlineLevel="0" collapsed="false">
      <c r="A8" s="2" t="s">
        <v>339</v>
      </c>
      <c r="B8" s="2" t="s">
        <v>340</v>
      </c>
      <c r="C8" s="4" t="n">
        <v>160</v>
      </c>
      <c r="D8" s="4" t="n">
        <v>15</v>
      </c>
      <c r="E8" s="4" t="n">
        <v>1.4</v>
      </c>
      <c r="F8" s="8" t="n">
        <v>0.5</v>
      </c>
      <c r="G8" s="4" t="n">
        <v>300</v>
      </c>
      <c r="H8" s="21" t="n">
        <f aca="false">C8/(Weapons!$F$2*(1-F8))</f>
        <v>48</v>
      </c>
      <c r="I8" s="21" t="n">
        <f aca="false">C8/Weapons!$F$3</f>
        <v>14</v>
      </c>
      <c r="J8" s="21" t="n">
        <f aca="false">C8/(Weapons!$F$4*(1-F8))</f>
        <v>32</v>
      </c>
    </row>
    <row r="9" customFormat="false" ht="15" hidden="false" customHeight="false" outlineLevel="0" collapsed="false">
      <c r="A9" s="2" t="s">
        <v>341</v>
      </c>
      <c r="B9" s="2" t="s">
        <v>342</v>
      </c>
      <c r="C9" s="4" t="n">
        <v>450</v>
      </c>
      <c r="D9" s="4" t="n">
        <v>18</v>
      </c>
      <c r="E9" s="4" t="n">
        <v>1</v>
      </c>
      <c r="F9" s="8" t="n">
        <v>0</v>
      </c>
      <c r="G9" s="4" t="n">
        <v>500</v>
      </c>
      <c r="H9" s="21" t="n">
        <f aca="false">C9/(Weapons!$F$2*(1-F9))</f>
        <v>67.5</v>
      </c>
      <c r="I9" s="21" t="n">
        <f aca="false">C9/Weapons!$F$3</f>
        <v>39.375</v>
      </c>
      <c r="J9" s="21" t="n">
        <f aca="false">C9/(Weapons!$F$4*(1-F9))</f>
        <v>45</v>
      </c>
    </row>
    <row r="11" customFormat="false" ht="15" hidden="false" customHeight="false" outlineLevel="0" collapsed="false">
      <c r="A11" s="6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7" t="s">
        <v>344</v>
      </c>
      <c r="B1" s="7" t="s">
        <v>345</v>
      </c>
      <c r="C1" s="7" t="s">
        <v>346</v>
      </c>
      <c r="D1" s="7" t="s">
        <v>347</v>
      </c>
      <c r="E1" s="7" t="s">
        <v>348</v>
      </c>
      <c r="F1" s="7" t="s">
        <v>349</v>
      </c>
      <c r="G1" s="7" t="s">
        <v>270</v>
      </c>
    </row>
    <row r="2" customFormat="false" ht="15" hidden="false" customHeight="false" outlineLevel="0" collapsed="false">
      <c r="A2" s="2" t="s">
        <v>350</v>
      </c>
      <c r="B2" s="4" t="n">
        <v>0.7</v>
      </c>
      <c r="C2" s="4" t="n">
        <v>5</v>
      </c>
      <c r="D2" s="2" t="n">
        <f aca="false">B2*C2</f>
        <v>3.5</v>
      </c>
      <c r="E2" s="4" t="n">
        <v>1.5</v>
      </c>
      <c r="F2" s="2" t="n">
        <f aca="false">E2+D2</f>
        <v>5</v>
      </c>
      <c r="G2" s="6" t="s">
        <v>351</v>
      </c>
    </row>
    <row r="3" customFormat="false" ht="15" hidden="false" customHeight="false" outlineLevel="0" collapsed="false">
      <c r="A3" s="2" t="s">
        <v>352</v>
      </c>
      <c r="B3" s="4" t="n">
        <v>15</v>
      </c>
      <c r="C3" s="4" t="n">
        <v>5</v>
      </c>
      <c r="D3" s="2" t="n">
        <f aca="false">B3*C3</f>
        <v>75</v>
      </c>
      <c r="E3" s="4" t="n">
        <v>60</v>
      </c>
      <c r="F3" s="2" t="n">
        <f aca="false">E3+D3</f>
        <v>135</v>
      </c>
      <c r="G3" s="6" t="s">
        <v>353</v>
      </c>
    </row>
    <row r="4" customFormat="false" ht="15" hidden="false" customHeight="false" outlineLevel="0" collapsed="false">
      <c r="A4" s="2" t="s">
        <v>354</v>
      </c>
      <c r="B4" s="8" t="n">
        <v>0.06</v>
      </c>
      <c r="C4" s="4" t="n">
        <v>5</v>
      </c>
      <c r="D4" s="22" t="n">
        <f aca="false">B4*C4</f>
        <v>0.3</v>
      </c>
      <c r="E4" s="4" t="n">
        <v>0</v>
      </c>
      <c r="F4" s="22" t="n">
        <f aca="false">E4+D4</f>
        <v>0.3</v>
      </c>
      <c r="G4" s="6" t="s">
        <v>355</v>
      </c>
    </row>
    <row r="5" customFormat="false" ht="15" hidden="false" customHeight="false" outlineLevel="0" collapsed="false">
      <c r="A5" s="2" t="s">
        <v>356</v>
      </c>
      <c r="B5" s="4" t="n">
        <v>0.5</v>
      </c>
      <c r="C5" s="4" t="n">
        <v>5</v>
      </c>
      <c r="D5" s="2" t="n">
        <f aca="false">B5*C5</f>
        <v>2.5</v>
      </c>
      <c r="E5" s="4" t="n">
        <v>0</v>
      </c>
      <c r="F5" s="2" t="n">
        <f aca="false">E5+D5</f>
        <v>2.5</v>
      </c>
      <c r="G5" s="6" t="s">
        <v>357</v>
      </c>
    </row>
    <row r="6" customFormat="false" ht="15" hidden="false" customHeight="false" outlineLevel="0" collapsed="false">
      <c r="A6" s="2" t="s">
        <v>358</v>
      </c>
      <c r="B6" s="8" t="n">
        <v>0.1</v>
      </c>
      <c r="C6" s="4" t="n">
        <v>5</v>
      </c>
      <c r="D6" s="22" t="n">
        <f aca="false">B6*C6</f>
        <v>0.5</v>
      </c>
      <c r="E6" s="4" t="n">
        <v>0</v>
      </c>
      <c r="F6" s="22" t="n">
        <f aca="false">E6+D6</f>
        <v>0.5</v>
      </c>
      <c r="G6" s="6" t="s">
        <v>359</v>
      </c>
    </row>
    <row r="9" customFormat="false" ht="39.55" hidden="false" customHeight="false" outlineLevel="0" collapsed="false">
      <c r="A9" s="7" t="s">
        <v>360</v>
      </c>
      <c r="B9" s="7" t="s">
        <v>361</v>
      </c>
      <c r="C9" s="7" t="s">
        <v>362</v>
      </c>
      <c r="D9" s="7" t="s">
        <v>363</v>
      </c>
    </row>
    <row r="10" customFormat="false" ht="15" hidden="false" customHeight="false" outlineLevel="0" collapsed="false">
      <c r="A10" s="2" t="n">
        <v>1</v>
      </c>
      <c r="B10" s="11" t="n">
        <v>30</v>
      </c>
      <c r="C10" s="13" t="n">
        <f aca="false">SUM($B$10:B10)</f>
        <v>30</v>
      </c>
      <c r="D10" s="15" t="n">
        <f aca="false">C10/600</f>
        <v>0.05</v>
      </c>
    </row>
    <row r="11" customFormat="false" ht="15" hidden="false" customHeight="false" outlineLevel="0" collapsed="false">
      <c r="A11" s="2" t="n">
        <v>2</v>
      </c>
      <c r="B11" s="11" t="n">
        <v>60</v>
      </c>
      <c r="C11" s="13" t="n">
        <f aca="false">SUM($B$10:B11)</f>
        <v>90</v>
      </c>
      <c r="D11" s="15" t="n">
        <f aca="false">C11/600</f>
        <v>0.15</v>
      </c>
    </row>
    <row r="12" customFormat="false" ht="15" hidden="false" customHeight="false" outlineLevel="0" collapsed="false">
      <c r="A12" s="2" t="n">
        <v>3</v>
      </c>
      <c r="B12" s="11" t="n">
        <v>120</v>
      </c>
      <c r="C12" s="13" t="n">
        <f aca="false">SUM($B$10:B12)</f>
        <v>210</v>
      </c>
      <c r="D12" s="15" t="n">
        <f aca="false">C12/600</f>
        <v>0.35</v>
      </c>
    </row>
    <row r="13" customFormat="false" ht="15" hidden="false" customHeight="false" outlineLevel="0" collapsed="false">
      <c r="A13" s="2" t="n">
        <v>4</v>
      </c>
      <c r="B13" s="11" t="n">
        <v>240</v>
      </c>
      <c r="C13" s="13" t="n">
        <f aca="false">SUM($B$10:B13)</f>
        <v>450</v>
      </c>
      <c r="D13" s="15" t="n">
        <f aca="false">C13/600</f>
        <v>0.75</v>
      </c>
    </row>
    <row r="14" customFormat="false" ht="15" hidden="false" customHeight="false" outlineLevel="0" collapsed="false">
      <c r="A14" s="2" t="n">
        <v>5</v>
      </c>
      <c r="B14" s="11" t="n">
        <v>400</v>
      </c>
      <c r="C14" s="13" t="n">
        <f aca="false">SUM($B$10:B14)</f>
        <v>850</v>
      </c>
      <c r="D14" s="15" t="n">
        <f aca="false">C14/600</f>
        <v>1.41666666666667</v>
      </c>
    </row>
    <row r="16" customFormat="false" ht="15" hidden="false" customHeight="false" outlineLevel="0" collapsed="false">
      <c r="A16" s="6" t="s">
        <v>364</v>
      </c>
      <c r="C16" s="13" t="n">
        <f aca="false">C14*5</f>
        <v>4250</v>
      </c>
      <c r="D16" s="15" t="n">
        <f aca="false">C16/600</f>
        <v>7.08333333333333</v>
      </c>
    </row>
    <row r="18" customFormat="false" ht="15" hidden="false" customHeight="false" outlineLevel="0" collapsed="false">
      <c r="A18" s="6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2026-10-18T03:17:23Z</dcterms:created>
  <dc:creator>openpyxl</dc:creator>
  <dc:description/>
  <dc:language>en-US</dc:language>
  <cp:lastModifiedBy/>
  <dcterms:modified xsi:type="dcterms:W3CDTF">2026-10-18T03:17:23Z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